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5ad3512df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c03650dedec429e"/>
    <x:sheet xmlns:r="http://schemas.openxmlformats.org/officeDocument/2006/relationships" name="Achados" sheetId="2" r:id="Rb501443676eb4dc6"/>
    <x:sheet xmlns:r="http://schemas.openxmlformats.org/officeDocument/2006/relationships" name="Fluxos" sheetId="3" r:id="R07e74371695c4c42"/>
    <x:sheet xmlns:r="http://schemas.openxmlformats.org/officeDocument/2006/relationships" name="Aliases_184" sheetId="4" r:id="Rcadde53e142d4c9a"/>
    <x:sheet xmlns:r="http://schemas.openxmlformats.org/officeDocument/2006/relationships" name="Colunas_DB" sheetId="5" r:id="Ra1ea2b7841774b9f"/>
    <x:sheet xmlns:r="http://schemas.openxmlformats.org/officeDocument/2006/relationships" name="Planilhas_Reais" sheetId="6" r:id="R3aa754e828cc4bf5"/>
    <x:sheet xmlns:r="http://schemas.openxmlformats.org/officeDocument/2006/relationships" name="Update_Merge" sheetId="7" r:id="R31ab8cc5cf4b40f7"/>
    <x:sheet xmlns:r="http://schemas.openxmlformats.org/officeDocument/2006/relationships" name="SAM" sheetId="8" r:id="Rcf25b5690bc6483f"/>
    <x:sheet xmlns:r="http://schemas.openxmlformats.org/officeDocument/2006/relationships" name="Derivadas" sheetId="9" r:id="R644f44e93e7f412f"/>
    <x:sheet xmlns:r="http://schemas.openxmlformats.org/officeDocument/2006/relationships" name="Cancelamento" sheetId="10" r:id="R48f30311bf9e49d8"/>
    <x:sheet xmlns:r="http://schemas.openxmlformats.org/officeDocument/2006/relationships" name="Testes" sheetId="11" r:id="R3aab6daf3dab4a8f"/>
    <x:sheet xmlns:r="http://schemas.openxmlformats.org/officeDocument/2006/relationships" name="Docs_vs_Runtime" sheetId="12" r:id="R41857fb308654265"/>
    <x:sheet xmlns:r="http://schemas.openxmlformats.org/officeDocument/2006/relationships" name="Linhagem_Git" sheetId="13" r:id="R8696398ba4bf40aa"/>
    <x:sheet xmlns:r="http://schemas.openxmlformats.org/officeDocument/2006/relationships" name="Remediacao" sheetId="14" r:id="R1e838c28d068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E70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0F766E"/>
      </x:patternFill>
    </x:fill>
    <x:fill>
      <x:patternFill patternType="solid">
        <x:fgColor rgb="FFFECACA"/>
      </x:patternFill>
    </x:fill>
    <x:fill>
      <x:patternFill patternType="solid">
        <x:fgColor rgb="FFFED7AA"/>
      </x:patternFill>
    </x:fill>
    <x:fill>
      <x:patternFill patternType="solid">
        <x:fgColor rgb="FFFEF3C7"/>
      </x:patternFill>
    </x:fill>
    <x:fill>
      <x:patternFill patternType="solid">
        <x:fgColor rgb="FF234E70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d33d3346e4c32" /><Relationship Type="http://schemas.openxmlformats.org/officeDocument/2006/relationships/theme" Target="/xl/theme/theme1.xml" Id="Rbdcb44270dd54034" /><Relationship Type="http://schemas.openxmlformats.org/officeDocument/2006/relationships/sharedStrings" Target="/xl/sharedStrings.xml" Id="R3161c23627e44de4" /><Relationship Type="http://schemas.openxmlformats.org/officeDocument/2006/relationships/worksheet" Target="/xl/worksheets/sheet1.xml" Id="R3c03650dedec429e" /><Relationship Type="http://schemas.openxmlformats.org/officeDocument/2006/relationships/worksheet" Target="/xl/worksheets/sheet2.xml" Id="Rb501443676eb4dc6" /><Relationship Type="http://schemas.openxmlformats.org/officeDocument/2006/relationships/worksheet" Target="/xl/worksheets/sheet3.xml" Id="R07e74371695c4c42" /><Relationship Type="http://schemas.openxmlformats.org/officeDocument/2006/relationships/worksheet" Target="/xl/worksheets/sheet4.xml" Id="Rcadde53e142d4c9a" /><Relationship Type="http://schemas.openxmlformats.org/officeDocument/2006/relationships/worksheet" Target="/xl/worksheets/sheet5.xml" Id="Ra1ea2b7841774b9f" /><Relationship Type="http://schemas.openxmlformats.org/officeDocument/2006/relationships/worksheet" Target="/xl/worksheets/sheet6.xml" Id="R3aa754e828cc4bf5" /><Relationship Type="http://schemas.openxmlformats.org/officeDocument/2006/relationships/worksheet" Target="/xl/worksheets/sheet7.xml" Id="R31ab8cc5cf4b40f7" /><Relationship Type="http://schemas.openxmlformats.org/officeDocument/2006/relationships/worksheet" Target="/xl/worksheets/sheet8.xml" Id="Rcf25b5690bc6483f" /><Relationship Type="http://schemas.openxmlformats.org/officeDocument/2006/relationships/worksheet" Target="/xl/worksheets/sheet9.xml" Id="R644f44e93e7f412f" /><Relationship Type="http://schemas.openxmlformats.org/officeDocument/2006/relationships/worksheet" Target="/xl/worksheets/sheet10.xml" Id="R48f30311bf9e49d8" /><Relationship Type="http://schemas.openxmlformats.org/officeDocument/2006/relationships/worksheet" Target="/xl/worksheets/sheet11.xml" Id="R3aab6daf3dab4a8f" /><Relationship Type="http://schemas.openxmlformats.org/officeDocument/2006/relationships/worksheet" Target="/xl/worksheets/sheet12.xml" Id="R41857fb308654265" /><Relationship Type="http://schemas.openxmlformats.org/officeDocument/2006/relationships/worksheet" Target="/xl/worksheets/sheet13.xml" Id="R8696398ba4bf40aa" /><Relationship Type="http://schemas.openxmlformats.org/officeDocument/2006/relationships/worksheet" Target="/xl/worksheets/sheet14.xml" Id="R1e838c28d06843f9" /></Relationships>
</file>

<file path=xl/tables/table1.xml><?xml version="1.0" encoding="utf-8"?>
<x:table xmlns:x="http://schemas.openxmlformats.org/spreadsheetml/2006/main" id="1" name="AchadosTable" displayName="AchadosTable" ref="A4:G39" headerRowCount="1" totalsRowCount="0" totalsRowShown="0">
  <x:autoFilter ref="A4:G39"/>
  <x:tableColumns count="7">
    <x:tableColumn id="1" name="ID"/>
    <x:tableColumn id="2" name="Severidade"/>
    <x:tableColumn id="3" name="Plataforma"/>
    <x:tableColumn id="4" name="Estado"/>
    <x:tableColumn id="5" name="Achado"/>
    <x:tableColumn id="6" name="Fonte"/>
    <x:tableColumn id="7" name="Evid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uxosTable" displayName="FluxosTable" ref="A4:D23" headerRowCount="1" totalsRowCount="0" totalsRowShown="0">
  <x:autoFilter ref="A4:D23"/>
  <x:tableColumns count="4">
    <x:tableColumn id="1" name="Plataforma"/>
    <x:tableColumn id="2" name="Ordem"/>
    <x:tableColumn id="3" name="Etapa"/>
    <x:tableColumn id="4" name="Comportamento re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iasesTable" displayName="AliasesTable" ref="A4:F188" headerRowCount="1" totalsRowCount="0" totalsRowShown="0">
  <x:autoFilter ref="A4:F188"/>
  <x:tableColumns count="6">
    <x:tableColumn id="1" name="Canonico Python"/>
    <x:tableColumn id="2" name="Alias Python"/>
    <x:tableColumn id="3" name="Normalizado C++"/>
    <x:tableColumn id="4" name="Coberto"/>
    <x:tableColumn id="5" name="Destino C++"/>
    <x:tableColumn id="6" name="Classific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umnsTable" displayName="ColumnsTable" ref="A4:I89" headerRowCount="1" totalsRowCount="0" totalsRowShown="0">
  <x:autoFilter ref="A4:I89"/>
  <x:tableColumns count="9">
    <x:tableColumn id="1" name="Chave"/>
    <x:tableColumn id="2" name="Label"/>
    <x:tableColumn id="3" name="Tipo"/>
    <x:tableColumn id="4" name="Persistida"/>
    <x:tableColumn id="5" name="Visivel"/>
    <x:tableColumn id="6" name="Filtravel"/>
    <x:tableColumn id="7" name="Aliases Python"/>
    <x:tableColumn id="8" name="Aliases C++"/>
    <x:tableColumn id="9" name="Comportamento de impor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miliesTable" displayName="FamiliesTable" ref="A4:E12" headerRowCount="1" totalsRowCount="0" totalsRowShown="0">
  <x:autoFilter ref="A4:E12"/>
  <x:tableColumns count="5">
    <x:tableColumn id="1" name="Familia"/>
    <x:tableColumn id="2" name="Campos basicos mapeados"/>
    <x:tableColumn id="3" name="Reconhecido"/>
    <x:tableColumn id="4" name="Descartado/ambiguo"/>
    <x:tableColumn id="5" name="Impac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pdateTable" displayName="UpdateTable" ref="A4:D17" headerRowCount="1" totalsRowCount="0" totalsRowShown="0">
  <x:autoFilter ref="A4:D17"/>
  <x:tableColumns count="4">
    <x:tableColumn id="1" name="Regra"/>
    <x:tableColumn id="2" name="Python"/>
    <x:tableColumn id="3" name="C++"/>
    <x:tableColumn id="4" name="Direcao segur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amTable" displayName="SamTable" ref="A4:D15" headerRowCount="1" totalsRowCount="0" totalsRowShown="0">
  <x:autoFilter ref="A4:D15"/>
  <x:tableColumns count="4">
    <x:tableColumn id="1" name="Header scrap_report"/>
    <x:tableColumn id="2" name="Destino Python"/>
    <x:tableColumn id="3" name="Reconhecido C++"/>
    <x:tableColumn id="4" name="Result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rivadasTable" displayName="DerivadasTable" ref="A4:D11" headerRowCount="1" totalsRowCount="0" totalsRowShown="0">
  <x:autoFilter ref="A4:D11"/>
  <x:tableColumns count="4">
    <x:tableColumn id="1" name="Area"/>
    <x:tableColumn id="2" name="Python real"/>
    <x:tableColumn id="3" name="C++ real"/>
    <x:tableColumn id="4" name="Gap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ncellationTable" displayName="CancellationTable" ref="A4:E17" headerRowCount="1" totalsRowCount="0" totalsRowShown="0">
  <x:autoFilter ref="A4:E17"/>
  <x:tableColumns count="5">
    <x:tableColumn id="1" name="Etapa"/>
    <x:tableColumn id="2" name="Plataforma"/>
    <x:tableColumn id="3" name="Cancelamento interno"/>
    <x:tableColumn id="4" name="Efeito"/>
    <x:tableColumn id="5" name="Est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estsTable" displayName="TestsTable" ref="A4:D17" headerRowCount="1" totalsRowCount="0" totalsRowShown="0">
  <x:autoFilter ref="A4:D17"/>
  <x:tableColumns count="4">
    <x:tableColumn id="1" name="Contrato"/>
    <x:tableColumn id="2" name="C++"/>
    <x:tableColumn id="3" name="Python"/>
    <x:tableColumn id="4" name="Lacun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ocsTable" displayName="DocsTable" ref="A4:D14" headerRowCount="1" totalsRowCount="0" totalsRowShown="0">
  <x:autoFilter ref="A4:D14"/>
  <x:tableColumns count="4">
    <x:tableColumn id="1" name="Documento"/>
    <x:tableColumn id="2" name="Alegacao"/>
    <x:tableColumn id="3" name="Runtime"/>
    <x:tableColumn id="4" name="Classificaca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ineageTable" displayName="LineageTable" ref="A4:E13" headerRowCount="1" totalsRowCount="0" totalsRowShown="0">
  <x:autoFilter ref="A4:E13"/>
  <x:tableColumns count="5">
    <x:tableColumn id="1" name="Data"/>
    <x:tableColumn id="2" name="Commit"/>
    <x:tableColumn id="3" name="Autor/agente"/>
    <x:tableColumn id="4" name="Mudanca"/>
    <x:tableColumn id="5" name="Observaca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mediationTable" displayName="RemediationTable" ref="A4:E14" headerRowCount="1" totalsRowCount="0" totalsRowShown="0">
  <x:autoFilter ref="A4:E14"/>
  <x:tableColumns count="5">
    <x:tableColumn id="1" name="Ordem"/>
    <x:tableColumn id="2" name="Acao"/>
    <x:tableColumn id="3" name="Objetivo"/>
    <x:tableColumn id="4" name="Prioridade"/>
    <x:tableColumn id="5" name="Gate de ace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99e056c3744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9aba2bb5d41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55a96af05444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79a3549ccf46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3696ea212744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dafd75eb8a41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5dc16218324a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8827950be143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771fae4eae049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6432f3029c4d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e4b2bfb6ae14d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6c85e719eba47a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ad71a6672cf4b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" hidden="0" customWidth="1"/>
    <x:col min="4" max="4" width="24" hidden="0" customWidth="1"/>
    <x:col min="5" max="5" width="26" hidden="0" customWidth="1"/>
    <x:col min="6" max="6" width="44" hidden="0" customWidth="1"/>
  </x:cols>
  <x:sheetData>
    <x:row r="1" ht="32" customHeight="1">
      <x:c r="A1" s="29" t="str">
        <x:v>Auditoria forense da importacao v0.9.5</x:v>
      </x:c>
      <x:c r="B1" s="29"/>
      <x:c r="C1" s="29"/>
      <x:c r="D1" s="29"/>
      <x:c r="E1" s="29"/>
      <x:c r="F1" s="29"/>
    </x:row>
    <x:row r="2" ht="42" customHeight="1">
      <x:c r="A2" s="32" t="str">
        <x:v>C++ transacionalmente atomico, mas semanticamente inseguro. Nao usar import/rescan/SAM no banco principal antes da remediacao.</x:v>
      </x:c>
      <x:c r="B2" s="32"/>
      <x:c r="C2" s="32"/>
      <x:c r="D2" s="32"/>
      <x:c r="E2" s="32"/>
      <x:c r="F2" s="32"/>
    </x:row>
    <x:row r="4">
      <x:c r="A4" s="8" t="str">
        <x:v>Indicador</x:v>
      </x:c>
      <x:c r="B4" s="8" t="str">
        <x:v>Valor</x:v>
      </x:c>
      <x:c r="D4" s="8" t="str">
        <x:v>Baseline</x:v>
      </x:c>
      <x:c r="E4" s="8" t="str">
        <x:v>Commit</x:v>
      </x:c>
      <x:c r="F4" s="8" t="str">
        <x:v>Papel</x:v>
      </x:c>
    </x:row>
    <x:row r="5">
      <x:c r="A5" s="33" t="str">
        <x:v>Achados criticos</x:v>
      </x:c>
      <x:c r="B5" s="35" t="n">
        <x:f>COUNTIF('Achados'!$B$5:$B$39,"Critica")</x:f>
        <x:v>8</x:v>
      </x:c>
      <x:c r="D5" s="36" t="str">
        <x:v>C++</x:v>
      </x:c>
      <x:c r="E5" s="36" t="str">
        <x:v>49bd348 / v0.9.5</x:v>
      </x:c>
      <x:c r="F5" s="36" t="str">
        <x:v>Implementacao auditada</x:v>
      </x:c>
    </x:row>
    <x:row r="6">
      <x:c r="A6" s="33" t="str">
        <x:v>Achados altos</x:v>
      </x:c>
      <x:c r="B6" s="35" t="n">
        <x:f>COUNTIF('Achados'!$B$5:$B$39,"Alta")</x:f>
        <x:v>16</x:v>
      </x:c>
      <x:c r="D6" s="36" t="str">
        <x:v>Python</x:v>
      </x:c>
      <x:c r="E6" s="36" t="str">
        <x:v>d8c4033c</x:v>
      </x:c>
      <x:c r="F6" s="36" t="str">
        <x:v>Referencia com defeitos proprios</x:v>
      </x:c>
    </x:row>
    <x:row r="7">
      <x:c r="A7" s="33" t="str">
        <x:v>Achados medios</x:v>
      </x:c>
      <x:c r="B7" s="35" t="n">
        <x:f>COUNTIF('Achados'!$B$5:$B$39,"Media")</x:f>
        <x:v>11</x:v>
      </x:c>
      <x:c r="D7" s="36" t="str">
        <x:v>scrap_report</x:v>
      </x:c>
      <x:c r="E7" s="36" t="str">
        <x:v>83ca55f</x:v>
      </x:c>
      <x:c r="F7" s="36" t="str">
        <x:v>Produtor SAM</x:v>
      </x:c>
    </x:row>
    <x:row r="8">
      <x:c r="A8" s="33" t="str">
        <x:v>Contratos corretos</x:v>
      </x:c>
      <x:c r="B8" s="35" t="n">
        <x:f>10</x:f>
        <x:v>10</x:v>
      </x:c>
      <x:c r="D8" s="36" t="str">
        <x:v>SQLite</x:v>
      </x:c>
      <x:c r="E8" s="36" t="str">
        <x:v>integrity_check=ok</x:v>
      </x:c>
      <x:c r="F8" s="36" t="str">
        <x:v>94.879 SSAs unicas</x:v>
      </x:c>
    </x:row>
    <x:row r="9">
      <x:c r="A9" s="33" t="str">
        <x:v>Aliases Python</x:v>
      </x:c>
      <x:c r="B9" s="35" t="n">
        <x:f>COUNTA('Aliases_184'!$B$5:$B$188)</x:f>
        <x:v>184</x:v>
      </x:c>
    </x:row>
    <x:row r="10">
      <x:c r="A10" s="33" t="str">
        <x:v>Aliases cobertos: 68 mapa + 6 canonicos</x:v>
      </x:c>
      <x:c r="B10" s="35" t="n">
        <x:f>COUNTIF('Aliases_184'!$D$5:$D$188,"Sim")</x:f>
        <x:v>74</x:v>
      </x:c>
      <x:c r="D10" s="38" t="str">
        <x:v>Responsabilidade</x:v>
      </x:c>
      <x:c r="E10" s="38"/>
      <x:c r="F10" s="38"/>
    </x:row>
    <x:row r="11">
      <x:c r="A11" s="33" t="str">
        <x:v>Colunas persistidas</x:v>
      </x:c>
      <x:c r="B11" s="35" t="n">
        <x:f>84</x:f>
        <x:v>84</x:v>
      </x:c>
      <x:c r="D11" s="41" t="str">
        <x:v>O Codex introduziu a conversao .xls via LibreOffice no commit b83bd88, sem requisito rastreavel. A metadata Git usa Mauricio como author/committer e Codex como coautor. O importador SSA Python aceita apenas .xlsx; derivadas e um pipeline separado.</x:v>
      </x:c>
      <x:c r="E11" s="41"/>
      <x:c r="F11" s="41"/>
    </x:row>
    <x:row r="12">
      <x:c r="A12" s="33" t="str">
        <x:v>Linhas no DB atual</x:v>
      </x:c>
      <x:c r="B12" s="35" t="n">
        <x:f>94879</x:f>
        <x:v>94879</x:v>
      </x:c>
      <x:c r="D12" s="41"/>
      <x:c r="E12" s="41"/>
      <x:c r="F12" s="41"/>
    </x:row>
    <x:row r="13">
      <x:c r="A13" s="33" t="str">
        <x:v>Arquivos elegiveis na raiz</x:v>
      </x:c>
      <x:c r="B13" s="35" t="n">
        <x:f>1769</x:f>
        <x:v>1769</x:v>
      </x:c>
      <x:c r="D13" s="41"/>
      <x:c r="E13" s="41"/>
      <x:c r="F13" s="41"/>
    </x:row>
    <x:row r="14">
      <x:c r="A14" s="33" t="str">
        <x:v>Limite C++ de arquivos</x:v>
      </x:c>
      <x:c r="B14" s="35" t="n">
        <x:f>64</x:f>
        <x:v>64</x:v>
      </x:c>
      <x:c r="D14" s="41"/>
      <x:c r="E14" s="41"/>
      <x:c r="F14" s="41"/>
    </x:row>
    <x:row r="16" ht="36" customHeight="1">
      <x:c r="A16" s="44" t="str">
        <x:v>Politica imediata: nao remover o limite de 64 isoladamente; isso liberaria as regras destrutivas para o acervo inteiro.</x:v>
      </x:c>
      <x:c r="B16" s="44"/>
      <x:c r="C16" s="44"/>
      <x:c r="D16" s="44"/>
      <x:c r="E16" s="44"/>
      <x:c r="F16" s="44"/>
    </x:row>
  </x:sheetData>
  <x:mergeCells>
    <x:mergeCell ref="A1:F1"/>
    <x:mergeCell ref="A2:F2"/>
    <x:mergeCell ref="D10:F10"/>
    <x:mergeCell ref="D11:F14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6" hidden="0" customWidth="1"/>
    <x:col min="5" max="5" width="56" hidden="0" customWidth="1"/>
    <x:col min="6" max="6" width="44" hidden="0" customWidth="1"/>
    <x:col min="7" max="7" width="12" hidden="0" customWidth="1"/>
  </x:cols>
  <x:sheetData>
    <x:row r="1" ht="28" customHeight="1">
      <x:c r="A1" s="3" t="str">
        <x:v>Achados confirmados</x:v>
      </x:c>
      <x:c r="B1" s="3"/>
      <x:c r="C1" s="3"/>
      <x:c r="D1" s="3"/>
      <x:c r="E1" s="3"/>
      <x:c r="F1" s="3"/>
      <x:c r="G1" s="3"/>
    </x:row>
    <x:row r="2" ht="34" customHeight="1">
      <x:c r="A2" s="6" t="str">
        <x:v>Classificacao por severidade, plataforma, estado e nivel de evidencia.</x:v>
      </x:c>
      <x:c r="B2" s="6"/>
      <x:c r="C2" s="6"/>
      <x:c r="D2" s="6"/>
      <x:c r="E2" s="6"/>
      <x:c r="F2" s="6"/>
      <x:c r="G2" s="6"/>
    </x:row>
    <x:row r="4" ht="30" customHeight="1">
      <x:c r="A4" s="15" t="str">
        <x:v>ID</x:v>
      </x:c>
      <x:c r="B4" s="16" t="str">
        <x:v>Severidade</x:v>
      </x:c>
      <x:c r="C4" s="16" t="str">
        <x:v>Plataforma</x:v>
      </x:c>
      <x:c r="D4" s="16" t="str">
        <x:v>Estado</x:v>
      </x:c>
      <x:c r="E4" s="16" t="str">
        <x:v>Achado</x:v>
      </x:c>
      <x:c r="F4" s="16" t="str">
        <x:v>Fonte</x:v>
      </x:c>
      <x:c r="G4" s="17" t="str">
        <x:v>Evidencia</x:v>
      </x:c>
    </x:row>
    <x:row r="5">
      <x:c r="A5" s="22" t="str">
        <x:v>C01</x:v>
      </x:c>
      <x:c r="B5" s="24" t="str">
        <x:v>Critica</x:v>
      </x:c>
      <x:c r="C5" s="22" t="str">
        <x:v>C++</x:v>
      </x:c>
      <x:c r="D5" s="22" t="str">
        <x:v>Confirmado</x:v>
      </x:c>
      <x:c r="E5" s="22" t="str">
        <x:v>Acervo real excede 64 arquivos e nao pode ser reescaneado</x:v>
      </x:c>
      <x:c r="F5" s="22" t="str">
        <x:v>ImportFileStager.cpp:31-33,101-129</x:v>
      </x:c>
      <x:c r="G5" s="22" t="str">
        <x:v>E1/E2</x:v>
      </x:c>
    </x:row>
    <x:row r="6">
      <x:c r="A6" s="23" t="str">
        <x:v>C02</x:v>
      </x:c>
      <x:c r="B6" s="25" t="str">
        <x:v>Critica</x:v>
      </x:c>
      <x:c r="C6" s="23" t="str">
        <x:v>C++</x:v>
      </x:c>
      <x:c r="D6" s="23" t="str">
        <x:v>Confirmado</x:v>
      </x:c>
      <x:c r="E6" s="23" t="str">
        <x:v>Update parcial apaga campos ausentes ao substituir a linha</x:v>
      </x:c>
      <x:c r="F6" s="23" t="str">
        <x:v>SqliteSsaImportWriter.cpp:340-352</x:v>
      </x:c>
      <x:c r="G6" s="23" t="str">
        <x:v>E1/E2</x:v>
      </x:c>
    </x:row>
    <x:row r="7">
      <x:c r="A7" s="23" t="str">
        <x:v>C03</x:v>
      </x:c>
      <x:c r="B7" s="25" t="str">
        <x:v>Critica</x:v>
      </x:c>
      <x:c r="C7" s="23" t="str">
        <x:v>C++</x:v>
      </x:c>
      <x:c r="D7" s="23" t="str">
        <x:v>Confirmado</x:v>
      </x:c>
      <x:c r="E7" s="23" t="str">
        <x:v>Snapshot antigo e downgrade terminal sobrescrevem dado novo</x:v>
      </x:c>
      <x:c r="F7" s="23" t="str">
        <x:v>Ausencia de gate temporal no pipeline</x:v>
      </x:c>
      <x:c r="G7" s="23" t="str">
        <x:v>E1/E2</x:v>
      </x:c>
    </x:row>
    <x:row r="8">
      <x:c r="A8" s="23" t="str">
        <x:v>C04</x:v>
      </x:c>
      <x:c r="B8" s="25" t="str">
        <x:v>Critica</x:v>
      </x:c>
      <x:c r="C8" s="23" t="str">
        <x:v>C++</x:v>
      </x:c>
      <x:c r="D8" s="23" t="str">
        <x:v>Confirmado</x:v>
      </x:c>
      <x:c r="E8" s="23" t="str">
        <x:v>Headers especiais reais de prazo, atraso e TPE/TEX/TPO sao descartados</x:v>
      </x:c>
      <x:c r="F8" s="23" t="str">
        <x:v>SsaSpreadsheetHeaderCatalog.cpp:11-81</x:v>
      </x:c>
      <x:c r="G8" s="23" t="str">
        <x:v>E1/E2</x:v>
      </x:c>
    </x:row>
    <x:row r="9">
      <x:c r="A9" s="23" t="str">
        <x:v>C05</x:v>
      </x:c>
      <x:c r="B9" s="25" t="str">
        <x:v>Critica</x:v>
      </x:c>
      <x:c r="C9" s="23" t="str">
        <x:v>C++</x:v>
      </x:c>
      <x:c r="D9" s="23" t="str">
        <x:v>Confirmado</x:v>
      </x:c>
      <x:c r="E9" s="23" t="str">
        <x:v>Incremental declara sucesso vazio e move fonte para nosurvivor</x:v>
      </x:c>
      <x:c r="F9" s="23" t="str">
        <x:v>SpreadsheetImportWorkflowPort.cpp:214-223,276-302</x:v>
      </x:c>
      <x:c r="G9" s="23" t="str">
        <x:v>E1/E2</x:v>
      </x:c>
    </x:row>
    <x:row r="10">
      <x:c r="A10" s="23" t="str">
        <x:v>C06</x:v>
      </x:c>
      <x:c r="B10" s="25" t="str">
        <x:v>Critica</x:v>
      </x:c>
      <x:c r="C10" s="23" t="str">
        <x:v>C++</x:v>
      </x:c>
      <x:c r="D10" s="23" t="str">
        <x:v>Confirmado</x:v>
      </x:c>
      <x:c r="E10" s="23" t="str">
        <x:v>XLSX SAM real e incompativel com o mapper e termina em sucesso falso</x:v>
      </x:c>
      <x:c r="F10" s="23" t="str">
        <x:v>sam_api.py:22-34 + repro 0.9.5</x:v>
      </x:c>
      <x:c r="G10" s="23" t="str">
        <x:v>E1/E2</x:v>
      </x:c>
    </x:row>
    <x:row r="11">
      <x:c r="A11" s="23" t="str">
        <x:v>P01</x:v>
      </x:c>
      <x:c r="B11" s="25" t="str">
        <x:v>Critica</x:v>
      </x:c>
      <x:c r="C11" s="23" t="str">
        <x:v>Python</x:v>
      </x:c>
      <x:c r="D11" s="23" t="str">
        <x:v>Confirmado</x:v>
      </x:c>
      <x:c r="E11" s="23" t="str">
        <x:v>Full promove candidato incompleto quando ao menos um arquivo passa</x:v>
      </x:c>
      <x:c r="F11" s="23" t="str">
        <x:v>core/app_logic.py:1389-1520</x:v>
      </x:c>
      <x:c r="G11" s="23" t="str">
        <x:v>E2</x:v>
      </x:c>
    </x:row>
    <x:row r="12">
      <x:c r="A12" s="23" t="str">
        <x:v>P02</x:v>
      </x:c>
      <x:c r="B12" s="25" t="str">
        <x:v>Critica</x:v>
      </x:c>
      <x:c r="C12" s="23" t="str">
        <x:v>Python</x:v>
      </x:c>
      <x:c r="D12" s="23" t="str">
        <x:v>Confirmado</x:v>
      </x:c>
      <x:c r="E12" s="23" t="str">
        <x:v>Excecao na decisao temporal libera update em modo fail-open</x:v>
      </x:c>
      <x:c r="F12" s="23" t="str">
        <x:v>database_upsert_logic.py:379-495</x:v>
      </x:c>
      <x:c r="G12" s="23" t="str">
        <x:v>E2</x:v>
      </x:c>
    </x:row>
    <x:row r="13">
      <x:c r="A13" s="23" t="str">
        <x:v>A01</x:v>
      </x:c>
      <x:c r="B13" s="26" t="str">
        <x:v>Alta</x:v>
      </x:c>
      <x:c r="C13" s="23" t="str">
        <x:v>C++</x:v>
      </x:c>
      <x:c r="D13" s="23" t="str">
        <x:v>Confirmado</x:v>
      </x:c>
      <x:c r="E13" s="23" t="str">
        <x:v>Header duplicado descarta ocorrencias depois da primeira</x:v>
      </x:c>
      <x:c r="F13" s="23" t="str">
        <x:v>SsaSpreadsheetMapper.cpp:117-129</x:v>
      </x:c>
      <x:c r="G13" s="23" t="str">
        <x:v>E2</x:v>
      </x:c>
    </x:row>
    <x:row r="14">
      <x:c r="A14" s="23" t="str">
        <x:v>A02</x:v>
      </x:c>
      <x:c r="B14" s="26" t="str">
        <x:v>Alta</x:v>
      </x:c>
      <x:c r="C14" s="23" t="str">
        <x:v>C++</x:v>
      </x:c>
      <x:c r="D14" s="23" t="str">
        <x:v>Confirmado</x:v>
      </x:c>
      <x:c r="E14" s="23" t="str">
        <x:v>Le somente a primeira aba</x:v>
      </x:c>
      <x:c r="F14" s="23" t="str">
        <x:v>XlsxWorkbookReader.cpp:337-351</x:v>
      </x:c>
      <x:c r="G14" s="23" t="str">
        <x:v>E1/E2</x:v>
      </x:c>
    </x:row>
    <x:row r="15">
      <x:c r="A15" s="23" t="str">
        <x:v>A03</x:v>
      </x:c>
      <x:c r="B15" s="26" t="str">
        <x:v>Alta</x:v>
      </x:c>
      <x:c r="C15" s="23" t="str">
        <x:v>C++</x:v>
      </x:c>
      <x:c r="D15" s="23" t="str">
        <x:v>Confirmado</x:v>
      </x:c>
      <x:c r="E15" s="23" t="str">
        <x:v>optimized e allowFileDiscovery nao afetam o adapter</x:v>
      </x:c>
      <x:c r="F15" s="23" t="str">
        <x:v>IWorkflowPorts.h + SpreadsheetImportWorkflowPort.cpp</x:v>
      </x:c>
      <x:c r="G15" s="23" t="str">
        <x:v>E2</x:v>
      </x:c>
    </x:row>
    <x:row r="16">
      <x:c r="A16" s="23" t="str">
        <x:v>A04</x:v>
      </x:c>
      <x:c r="B16" s="26" t="str">
        <x:v>Alta</x:v>
      </x:c>
      <x:c r="C16" s="23" t="str">
        <x:v>C++</x:v>
      </x:c>
      <x:c r="D16" s="23" t="str">
        <x:v>Confirmado</x:v>
      </x:c>
      <x:c r="E16" s="23" t="str">
        <x:v>Nao deriva data_planilha nem data_arquivo_origem</x:v>
      </x:c>
      <x:c r="F16" s="23" t="str">
        <x:v>SsaSpreadsheetMapper.cpp:150-171</x:v>
      </x:c>
      <x:c r="G16" s="23" t="str">
        <x:v>E2</x:v>
      </x:c>
    </x:row>
    <x:row r="17">
      <x:c r="A17" s="23" t="str">
        <x:v>A05</x:v>
      </x:c>
      <x:c r="B17" s="26" t="str">
        <x:v>Alta</x:v>
      </x:c>
      <x:c r="C17" s="23" t="str">
        <x:v>C++</x:v>
      </x:c>
      <x:c r="D17" s="23" t="str">
        <x:v>Confirmado</x:v>
      </x:c>
      <x:c r="E17" s="23" t="str">
        <x:v>Import externo grava nome artificial de staging como origem</x:v>
      </x:c>
      <x:c r="F17" s="23" t="str">
        <x:v>ImportFileStager.cpp:284-337,621-628</x:v>
      </x:c>
      <x:c r="G17" s="23" t="str">
        <x:v>E2</x:v>
      </x:c>
    </x:row>
    <x:row r="18">
      <x:c r="A18" s="23" t="str">
        <x:v>A06</x:v>
      </x:c>
      <x:c r="B18" s="26" t="str">
        <x:v>Alta</x:v>
      </x:c>
      <x:c r="C18" s="23" t="str">
        <x:v>C++</x:v>
      </x:c>
      <x:c r="D18" s="23" t="str">
        <x:v>Confirmado</x:v>
      </x:c>
      <x:c r="E18" s="23" t="str">
        <x:v>Linha apenas com descricao pode ser persistida sem numero</x:v>
      </x:c>
      <x:c r="F18" s="23" t="str">
        <x:v>SsaSpreadsheetMapper.cpp:167-171</x:v>
      </x:c>
      <x:c r="G18" s="23" t="str">
        <x:v>E2</x:v>
      </x:c>
    </x:row>
    <x:row r="19">
      <x:c r="A19" s="23" t="str">
        <x:v>A07</x:v>
      </x:c>
      <x:c r="B19" s="26" t="str">
        <x:v>Alta</x:v>
      </x:c>
      <x:c r="C19" s="23" t="str">
        <x:v>C++</x:v>
      </x:c>
      <x:c r="D19" s="23" t="str">
        <x:v>Confirmado</x:v>
      </x:c>
      <x:c r="E19" s="23" t="str">
        <x:v>Linhas sem numero podem acumular duplicatas</x:v>
      </x:c>
      <x:c r="F19" s="23" t="str">
        <x:v>SsaImportConflictResolver.cpp:18-27</x:v>
      </x:c>
      <x:c r="G19" s="23" t="str">
        <x:v>E2</x:v>
      </x:c>
    </x:row>
    <x:row r="20">
      <x:c r="A20" s="23" t="str">
        <x:v>A08</x:v>
      </x:c>
      <x:c r="B20" s="26" t="str">
        <x:v>Alta</x:v>
      </x:c>
      <x:c r="C20" s="23" t="str">
        <x:v>C++</x:v>
      </x:c>
      <x:c r="D20" s="23" t="str">
        <x:v>Confirmado</x:v>
      </x:c>
      <x:c r="E20" s="23" t="str">
        <x:v>Indice numero_ssa nao e UNIQUE</x:v>
      </x:c>
      <x:c r="F20" s="23" t="str">
        <x:v>SqliteSsaImportWriter.cpp:102-107</x:v>
      </x:c>
      <x:c r="G20" s="23" t="str">
        <x:v>E2</x:v>
      </x:c>
    </x:row>
    <x:row r="21">
      <x:c r="A21" s="23" t="str">
        <x:v>A09</x:v>
      </x:c>
      <x:c r="B21" s="26" t="str">
        <x:v>Alta</x:v>
      </x:c>
      <x:c r="C21" s="23" t="str">
        <x:v>C++</x:v>
      </x:c>
      <x:c r="D21" s="23" t="str">
        <x:v>Confirmado</x:v>
      </x:c>
      <x:c r="E21" s="23" t="str">
        <x:v>SAM usa fake e CapturingImportPort, sem E2E ate SQLite</x:v>
      </x:c>
      <x:c r="F21" s="23" t="str">
        <x:v>SamRefreshWorkflowTests.cpp:488-502</x:v>
      </x:c>
      <x:c r="G21" s="23" t="str">
        <x:v>E2/E4</x:v>
      </x:c>
    </x:row>
    <x:row r="22">
      <x:c r="A22" s="23" t="str">
        <x:v>A10</x:v>
      </x:c>
      <x:c r="B22" s="26" t="str">
        <x:v>Alta</x:v>
      </x:c>
      <x:c r="C22" s="23" t="str">
        <x:v>C++</x:v>
      </x:c>
      <x:c r="D22" s="23" t="str">
        <x:v>Confirmado</x:v>
      </x:c>
      <x:c r="E22" s="23" t="str">
        <x:v>Manifesto SAM valida arquivo nao vazio, nao schema/header</x:v>
      </x:c>
      <x:c r="F22" s="23" t="str">
        <x:v>ScrapReportSamRefreshPort.cpp:104-134</x:v>
      </x:c>
      <x:c r="G22" s="23" t="str">
        <x:v>E2</x:v>
      </x:c>
    </x:row>
    <x:row r="23">
      <x:c r="A23" s="23" t="str">
        <x:v>A11</x:v>
      </x:c>
      <x:c r="B23" s="26" t="str">
        <x:v>Alta</x:v>
      </x:c>
      <x:c r="C23" s="23" t="str">
        <x:v>C++</x:v>
      </x:c>
      <x:c r="D23" s="23" t="str">
        <x:v>Confirmado</x:v>
      </x:c>
      <x:c r="E23" s="23" t="str">
        <x:v>Full inclui XLSX de processadas, mas nao XLS ou nosurvivor</x:v>
      </x:c>
      <x:c r="F23" s="23" t="str">
        <x:v>ImportFileStager.cpp:416-475</x:v>
      </x:c>
      <x:c r="G23" s="23" t="str">
        <x:v>E2</x:v>
      </x:c>
    </x:row>
    <x:row r="24">
      <x:c r="A24" s="23" t="str">
        <x:v>A12</x:v>
      </x:c>
      <x:c r="B24" s="26" t="str">
        <x:v>Alta</x:v>
      </x:c>
      <x:c r="C24" s="23" t="str">
        <x:v>C++</x:v>
      </x:c>
      <x:c r="D24" s="23" t="str">
        <x:v>Risco objetivo</x:v>
      </x:c>
      <x:c r="E24" s="23" t="str">
        <x:v>XLS antigo pode reaparecer apos o XLSX irmao ser movido</x:v>
      </x:c>
      <x:c r="F24" s="23" t="str">
        <x:v>ImportFileStager.cpp:499-516</x:v>
      </x:c>
      <x:c r="G24" s="23" t="str">
        <x:v>E2</x:v>
      </x:c>
    </x:row>
    <x:row r="25">
      <x:c r="A25" s="23" t="str">
        <x:v>A13</x:v>
      </x:c>
      <x:c r="B25" s="26" t="str">
        <x:v>Alta</x:v>
      </x:c>
      <x:c r="C25" s="23" t="str">
        <x:v>C++</x:v>
      </x:c>
      <x:c r="D25" s="23" t="str">
        <x:v>Confirmado</x:v>
      </x:c>
      <x:c r="E25" s="23" t="str">
        <x:v>Docs chamam derivadas de completas; adapter apenas limpa orfaos</x:v>
      </x:c>
      <x:c r="F25" s="23" t="str">
        <x:v>SqliteDerivadasPort.cpp:79-111</x:v>
      </x:c>
      <x:c r="G25" s="23" t="str">
        <x:v>E2/E5</x:v>
      </x:c>
    </x:row>
    <x:row r="26">
      <x:c r="A26" s="23" t="str">
        <x:v>A14</x:v>
      </x:c>
      <x:c r="B26" s="26" t="str">
        <x:v>Alta</x:v>
      </x:c>
      <x:c r="C26" s="23" t="str">
        <x:v>Python</x:v>
      </x:c>
      <x:c r="D26" s="23" t="str">
        <x:v>Confirmado</x:v>
      </x:c>
      <x:c r="E26" s="23" t="str">
        <x:v>Metricas contam linhas validadas como inseridas mesmo em no-op</x:v>
      </x:c>
      <x:c r="F26" s="23" t="str">
        <x:v>core/import_single_file.py:294-329</x:v>
      </x:c>
      <x:c r="G26" s="23" t="str">
        <x:v>E2</x:v>
      </x:c>
    </x:row>
    <x:row r="27">
      <x:c r="A27" s="23" t="str">
        <x:v>A15</x:v>
      </x:c>
      <x:c r="B27" s="26" t="str">
        <x:v>Alta</x:v>
      </x:c>
      <x:c r="C27" s="23" t="str">
        <x:v>Python</x:v>
      </x:c>
      <x:c r="D27" s="23" t="str">
        <x:v>Confirmado</x:v>
      </x:c>
      <x:c r="E27" s="23" t="str">
        <x:v>Incremental pode mostrar Canceled depois de commits parciais</x:v>
      </x:c>
      <x:c r="F27" s="23" t="str">
        <x:v>core/app_logic.py + upsert por arquivo</x:v>
      </x:c>
      <x:c r="G27" s="23" t="str">
        <x:v>E2</x:v>
      </x:c>
    </x:row>
    <x:row r="28">
      <x:c r="A28" s="23" t="str">
        <x:v>A16</x:v>
      </x:c>
      <x:c r="B28" s="26" t="str">
        <x:v>Alta</x:v>
      </x:c>
      <x:c r="C28" s="23" t="str">
        <x:v>Python</x:v>
      </x:c>
      <x:c r="D28" s="23" t="str">
        <x:v>Confirmado</x:v>
      </x:c>
      <x:c r="E28" s="23" t="str">
        <x:v>STE/SCA bloqueiam qualquer enriquecimento posterior</x:v>
      </x:c>
      <x:c r="F28" s="23" t="str">
        <x:v>database_upsert_logic.py:429-431</x:v>
      </x:c>
      <x:c r="G28" s="23" t="str">
        <x:v>E2</x:v>
      </x:c>
    </x:row>
    <x:row r="29">
      <x:c r="A29" s="23" t="str">
        <x:v>M01</x:v>
      </x:c>
      <x:c r="B29" s="27" t="str">
        <x:v>Media</x:v>
      </x:c>
      <x:c r="C29" s="23" t="str">
        <x:v>C++</x:v>
      </x:c>
      <x:c r="D29" s="23" t="str">
        <x:v>Confirmado</x:v>
      </x:c>
      <x:c r="E29" s="23" t="str">
        <x:v>Datas numericas podem virar serial porque styles.xml nao e lido</x:v>
      </x:c>
      <x:c r="F29" s="23" t="str">
        <x:v>XlsxWorkbookReader.cpp</x:v>
      </x:c>
      <x:c r="G29" s="23" t="str">
        <x:v>E2</x:v>
      </x:c>
    </x:row>
    <x:row r="30">
      <x:c r="A30" s="23" t="str">
        <x:v>M02</x:v>
      </x:c>
      <x:c r="B30" s="27" t="str">
        <x:v>Media</x:v>
      </x:c>
      <x:c r="C30" s="23" t="str">
        <x:v>C++</x:v>
      </x:c>
      <x:c r="D30" s="23" t="str">
        <x:v>Confirmado</x:v>
      </x:c>
      <x:c r="E30" s="23" t="str">
        <x:v>Formula depende apenas do valor cacheado v</x:v>
      </x:c>
      <x:c r="F30" s="23" t="str">
        <x:v>XlsxWorkbookReader.cpp:181-208</x:v>
      </x:c>
      <x:c r="G30" s="23" t="str">
        <x:v>E2</x:v>
      </x:c>
    </x:row>
    <x:row r="31">
      <x:c r="A31" s="23" t="str">
        <x:v>M03</x:v>
      </x:c>
      <x:c r="B31" s="27" t="str">
        <x:v>Media</x:v>
      </x:c>
      <x:c r="C31" s="23" t="str">
        <x:v>C++</x:v>
      </x:c>
      <x:c r="D31" s="23" t="str">
        <x:v>Confirmado</x:v>
      </x:c>
      <x:c r="E31" s="23" t="str">
        <x:v>Coluna INTEGER aceita texto pela afinidade flexivel SQLite</x:v>
      </x:c>
      <x:c r="F31" s="23" t="str">
        <x:v>SqliteSsaImportWriter.cpp:189-214</x:v>
      </x:c>
      <x:c r="G31" s="23" t="str">
        <x:v>E2</x:v>
      </x:c>
    </x:row>
    <x:row r="32">
      <x:c r="A32" s="23" t="str">
        <x:v>M04</x:v>
      </x:c>
      <x:c r="B32" s="27" t="str">
        <x:v>Media</x:v>
      </x:c>
      <x:c r="C32" s="23" t="str">
        <x:v>C++</x:v>
      </x:c>
      <x:c r="D32" s="23" t="str">
        <x:v>Confirmado</x:v>
      </x:c>
      <x:c r="E32" s="23" t="str">
        <x:v>Normalizacao SSA pode preservar texto arbitrario</x:v>
      </x:c>
      <x:c r="F32" s="23" t="str">
        <x:v>SsaSpreadsheetMapper.cpp:76-90</x:v>
      </x:c>
      <x:c r="G32" s="23" t="str">
        <x:v>E2</x:v>
      </x:c>
    </x:row>
    <x:row r="33">
      <x:c r="A33" s="23" t="str">
        <x:v>M05</x:v>
      </x:c>
      <x:c r="B33" s="27" t="str">
        <x:v>Media</x:v>
      </x:c>
      <x:c r="C33" s="23" t="str">
        <x:v>C++</x:v>
      </x:c>
      <x:c r="D33" s="23" t="str">
        <x:v>Confirmado</x:v>
      </x:c>
      <x:c r="E33" s="23" t="str">
        <x:v>Deduplicacao ocorre por arquivo, nao sobre o lote</x:v>
      </x:c>
      <x:c r="F33" s="23" t="str">
        <x:v>SpreadsheetImportWorkflowPort.cpp:225-231</x:v>
      </x:c>
      <x:c r="G33" s="23" t="str">
        <x:v>E2</x:v>
      </x:c>
    </x:row>
    <x:row r="34">
      <x:c r="A34" s="23" t="str">
        <x:v>M06</x:v>
      </x:c>
      <x:c r="B34" s="27" t="str">
        <x:v>Media</x:v>
      </x:c>
      <x:c r="C34" s="23" t="str">
        <x:v>C++</x:v>
      </x:c>
      <x:c r="D34" s="23" t="str">
        <x:v>Confirmado</x:v>
      </x:c>
      <x:c r="E34" s="23" t="str">
        <x:v>Mapper e conflict resolver nao consultam stop token</x:v>
      </x:c>
      <x:c r="F34" s="23" t="str">
        <x:v>Mapper + Resolver</x:v>
      </x:c>
      <x:c r="G34" s="23" t="str">
        <x:v>E2</x:v>
      </x:c>
    </x:row>
    <x:row r="35">
      <x:c r="A35" s="23" t="str">
        <x:v>M07</x:v>
      </x:c>
      <x:c r="B35" s="27" t="str">
        <x:v>Media</x:v>
      </x:c>
      <x:c r="C35" s="23" t="str">
        <x:v>C++</x:v>
      </x:c>
      <x:c r="D35" s="23" t="str">
        <x:v>Confirmado</x:v>
      </x:c>
      <x:c r="E35" s="23" t="str">
        <x:v>CLI omite diagnostico tecnico</x:v>
      </x:c>
      <x:c r="F35" s="23" t="str">
        <x:v>SsaCliController.cpp:293-301</x:v>
      </x:c>
      <x:c r="G35" s="23" t="str">
        <x:v>E2</x:v>
      </x:c>
    </x:row>
    <x:row r="36">
      <x:c r="A36" s="23" t="str">
        <x:v>M08</x:v>
      </x:c>
      <x:c r="B36" s="27" t="str">
        <x:v>Media</x:v>
      </x:c>
      <x:c r="C36" s="23" t="str">
        <x:v>C++</x:v>
      </x:c>
      <x:c r="D36" s="23" t="str">
        <x:v>Risco objetivo</x:v>
      </x:c>
      <x:c r="E36" s="23" t="str">
        <x:v>Crash entre staging e cleanup deixa copia elegivel</x:v>
      </x:c>
      <x:c r="F36" s="23" t="str">
        <x:v>SpreadsheetImportWorkflowPort.cpp:92,166-180</x:v>
      </x:c>
      <x:c r="G36" s="23" t="str">
        <x:v>E2</x:v>
      </x:c>
    </x:row>
    <x:row r="37">
      <x:c r="A37" s="23" t="str">
        <x:v>M09</x:v>
      </x:c>
      <x:c r="B37" s="27" t="str">
        <x:v>Media</x:v>
      </x:c>
      <x:c r="C37" s="23" t="str">
        <x:v>C++</x:v>
      </x:c>
      <x:c r="D37" s="23" t="str">
        <x:v>Risco objetivo</x:v>
      </x:c>
      <x:c r="E37" s="23" t="str">
        <x:v>Nao ha single-flight entre processos</x:v>
      </x:c>
      <x:c r="F37" s="23" t="str">
        <x:v>WorkflowCommandRunner.cpp</x:v>
      </x:c>
      <x:c r="G37" s="23" t="str">
        <x:v>E2</x:v>
      </x:c>
    </x:row>
    <x:row r="38">
      <x:c r="A38" s="23" t="str">
        <x:v>M10</x:v>
      </x:c>
      <x:c r="B38" s="27" t="str">
        <x:v>Media</x:v>
      </x:c>
      <x:c r="C38" s="23" t="str">
        <x:v>Python</x:v>
      </x:c>
      <x:c r="D38" s="23" t="str">
        <x:v>Confirmado</x:v>
      </x:c>
      <x:c r="E38" s="23" t="str">
        <x:v>Header canonico e sensivel a caixa/acento</x:v>
      </x:c>
      <x:c r="F38" s="23" t="str">
        <x:v>extracao/extractor.py:610-742</x:v>
      </x:c>
      <x:c r="G38" s="23" t="str">
        <x:v>E2</x:v>
      </x:c>
    </x:row>
    <x:row r="39">
      <x:c r="A39" s="23" t="str">
        <x:v>M11</x:v>
      </x:c>
      <x:c r="B39" s="27" t="str">
        <x:v>Media</x:v>
      </x:c>
      <x:c r="C39" s="23" t="str">
        <x:v>Python</x:v>
      </x:c>
      <x:c r="D39" s="23" t="str">
        <x:v>Confirmado</x:v>
      </x:c>
      <x:c r="E39" s="23" t="str">
        <x:v>Heuristica pode rejeitar numero no padrao YYYY-XXXXX repetido</x:v>
      </x:c>
      <x:c r="F39" s="23" t="str">
        <x:v>numero_ssa_utils.py</x:v>
      </x:c>
      <x:c r="G39" s="23" t="str">
        <x:v>E2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d599e056c3744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72" hidden="0" customWidth="1"/>
  </x:cols>
  <x:sheetData>
    <x:row r="1" ht="28" customHeight="1">
      <x:c r="A1" s="3" t="str">
        <x:v>Fluxos ponta a ponta</x:v>
      </x:c>
      <x:c r="B1" s="3"/>
      <x:c r="C1" s="3"/>
      <x:c r="D1" s="3"/>
    </x:row>
    <x:row r="2" ht="34" customHeight="1">
      <x:c r="A2" s="6" t="str">
        <x:v>Sequencia comparada dos pipelines reais C++ e Python.</x:v>
      </x:c>
      <x:c r="B2" s="6"/>
      <x:c r="C2" s="6"/>
      <x:c r="D2" s="6"/>
    </x:row>
    <x:row r="4" ht="30" customHeight="1">
      <x:c r="A4" s="15" t="str">
        <x:v>Plataforma</x:v>
      </x:c>
      <x:c r="B4" s="16" t="str">
        <x:v>Ordem</x:v>
      </x:c>
      <x:c r="C4" s="16" t="str">
        <x:v>Etapa</x:v>
      </x:c>
      <x:c r="D4" s="17" t="str">
        <x:v>Comportamento real</x:v>
      </x:c>
    </x:row>
    <x:row r="5">
      <x:c r="A5" s="22" t="str">
        <x:v>C++</x:v>
      </x:c>
      <x:c r="B5" s="22" t="n">
        <x:v>1</x:v>
      </x:c>
      <x:c r="C5" s="22" t="str">
        <x:v>Entrada</x:v>
      </x:c>
      <x:c r="D5" s="22" t="str">
        <x:v>GUI/CLI/SAM entrega arquivos</x:v>
      </x:c>
    </x:row>
    <x:row r="6">
      <x:c r="A6" s="23" t="str">
        <x:v>C++</x:v>
      </x:c>
      <x:c r="B6" s="23" t="n">
        <x:v>2</x:v>
      </x:c>
      <x:c r="C6" s="23" t="str">
        <x:v>Preflight</x:v>
      </x:c>
      <x:c r="D6" s="23" t="str">
        <x:v>64 arquivos, 128 MiB por arquivo, 1 GiB lote</x:v>
      </x:c>
    </x:row>
    <x:row r="7">
      <x:c r="A7" s="23" t="str">
        <x:v>C++</x:v>
      </x:c>
      <x:c r="B7" s="23" t="n">
        <x:v>3</x:v>
      </x:c>
      <x:c r="C7" s="23" t="str">
        <x:v>Staging</x:v>
      </x:c>
      <x:c r="D7" s="23" t="str">
        <x:v>Copia atomica ou LibreOffice para XLS</x:v>
      </x:c>
    </x:row>
    <x:row r="8">
      <x:c r="A8" s="23" t="str">
        <x:v>C++</x:v>
      </x:c>
      <x:c r="B8" s="23" t="n">
        <x:v>4</x:v>
      </x:c>
      <x:c r="C8" s="23" t="str">
        <x:v>Leitura</x:v>
      </x:c>
      <x:c r="D8" s="23" t="str">
        <x:v>Somente primeira aba; XML/miniz</x:v>
      </x:c>
    </x:row>
    <x:row r="9">
      <x:c r="A9" s="23" t="str">
        <x:v>C++</x:v>
      </x:c>
      <x:c r="B9" s="23" t="n">
        <x:v>5</x:v>
      </x:c>
      <x:c r="C9" s="23" t="str">
        <x:v>Mapeamento</x:v>
      </x:c>
      <x:c r="D9" s="23" t="str">
        <x:v>Header score &gt;=3; numero OU descricao</x:v>
      </x:c>
    </x:row>
    <x:row r="10">
      <x:c r="A10" s="23" t="str">
        <x:v>C++</x:v>
      </x:c>
      <x:c r="B10" s="23" t="n">
        <x:v>6</x:v>
      </x:c>
      <x:c r="C10" s="23" t="str">
        <x:v>Conflito</x:v>
      </x:c>
      <x:c r="D10" s="23" t="str">
        <x:v>Ultima linha por SSA dentro do arquivo</x:v>
      </x:c>
    </x:row>
    <x:row r="11">
      <x:c r="A11" s="23" t="str">
        <x:v>C++</x:v>
      </x:c>
      <x:c r="B11" s="23" t="n">
        <x:v>7</x:v>
      </x:c>
      <x:c r="C11" s="23" t="str">
        <x:v>Persistencia</x:v>
      </x:c>
      <x:c r="D11" s="23" t="str">
        <x:v>DELETE + INSERT completo</x:v>
      </x:c>
    </x:row>
    <x:row r="12">
      <x:c r="A12" s="23" t="str">
        <x:v>C++</x:v>
      </x:c>
      <x:c r="B12" s="23" t="n">
        <x:v>8</x:v>
      </x:c>
      <x:c r="C12" s="23" t="str">
        <x:v>Commit</x:v>
      </x:c>
      <x:c r="D12" s="23" t="str">
        <x:v>Um commit atomico do lote</x:v>
      </x:c>
    </x:row>
    <x:row r="13">
      <x:c r="A13" s="23" t="str">
        <x:v>C++</x:v>
      </x:c>
      <x:c r="B13" s="23" t="n">
        <x:v>9</x:v>
      </x:c>
      <x:c r="C13" s="23" t="str">
        <x:v>Consolidacao</x:v>
      </x:c>
      <x:c r="D13" s="23" t="str">
        <x:v>processadas ou nosurvivor</x:v>
      </x:c>
    </x:row>
    <x:row r="14">
      <x:c r="A14" s="23" t="str">
        <x:v>Python</x:v>
      </x:c>
      <x:c r="B14" s="23" t="n">
        <x:v>1</x:v>
      </x:c>
      <x:c r="C14" s="23" t="str">
        <x:v>Descoberta SSA</x:v>
      </x:c>
      <x:c r="D14" s="23" t="str">
        <x:v>Somente .xlsx; cache size/mtime/SHA</x:v>
      </x:c>
    </x:row>
    <x:row r="15">
      <x:c r="A15" s="23" t="str">
        <x:v>Python</x:v>
      </x:c>
      <x:c r="B15" s="23" t="n">
        <x:v>2</x:v>
      </x:c>
      <x:c r="C15" s="23" t="str">
        <x:v>Ordem</x:v>
      </x:c>
      <x:c r="D15" s="23" t="str">
        <x:v>Snapshot antigo para novo</x:v>
      </x:c>
    </x:row>
    <x:row r="16">
      <x:c r="A16" s="23" t="str">
        <x:v>Python</x:v>
      </x:c>
      <x:c r="B16" s="23" t="n">
        <x:v>3</x:v>
      </x:c>
      <x:c r="C16" s="23" t="str">
        <x:v>Leitura</x:v>
      </x:c>
      <x:c r="D16" s="23" t="str">
        <x:v>Todas as abas</x:v>
      </x:c>
    </x:row>
    <x:row r="17">
      <x:c r="A17" s="23" t="str">
        <x:v>Python</x:v>
      </x:c>
      <x:c r="B17" s="23" t="n">
        <x:v>4</x:v>
      </x:c>
      <x:c r="C17" s="23" t="str">
        <x:v>Mapeamento</x:v>
      </x:c>
      <x:c r="D17" s="23" t="str">
        <x:v>77 grupos e 184 aliases</x:v>
      </x:c>
    </x:row>
    <x:row r="18">
      <x:c r="A18" s="23" t="str">
        <x:v>Python</x:v>
      </x:c>
      <x:c r="B18" s="23" t="n">
        <x:v>5</x:v>
      </x:c>
      <x:c r="C18" s="23" t="str">
        <x:v>Validacao</x:v>
      </x:c>
      <x:c r="D18" s="23" t="str">
        <x:v>Numero e data; excecoes SCC/ADI/ASE</x:v>
      </x:c>
    </x:row>
    <x:row r="19">
      <x:c r="A19" s="23" t="str">
        <x:v>Python</x:v>
      </x:c>
      <x:c r="B19" s="23" t="n">
        <x:v>6</x:v>
      </x:c>
      <x:c r="C19" s="23" t="str">
        <x:v>Recencia</x:v>
      </x:c>
      <x:c r="D19" s="23" t="str">
        <x:v>data_planilha, origem e nome</x:v>
      </x:c>
    </x:row>
    <x:row r="20">
      <x:c r="A20" s="23" t="str">
        <x:v>Python</x:v>
      </x:c>
      <x:c r="B20" s="23" t="n">
        <x:v>7</x:v>
      </x:c>
      <x:c r="C20" s="23" t="str">
        <x:v>Merge</x:v>
      </x:c>
      <x:c r="D20" s="23" t="str">
        <x:v>Default sobrescreve nao vazio; complementary tem politica propria</x:v>
      </x:c>
    </x:row>
    <x:row r="21">
      <x:c r="A21" s="23" t="str">
        <x:v>Python</x:v>
      </x:c>
      <x:c r="B21" s="23" t="n">
        <x:v>8</x:v>
      </x:c>
      <x:c r="C21" s="23" t="str">
        <x:v>Commit</x:v>
      </x:c>
      <x:c r="D21" s="23" t="str">
        <x:v>Incremental por arquivo; full em candidato</x:v>
      </x:c>
    </x:row>
    <x:row r="22">
      <x:c r="A22" s="23" t="str">
        <x:v>Python</x:v>
      </x:c>
      <x:c r="B22" s="23" t="n">
        <x:v>9</x:v>
      </x:c>
      <x:c r="C22" s="23" t="str">
        <x:v>Relatorio</x:v>
      </x:c>
      <x:c r="D22" s="23" t="str">
        <x:v>Cache e consolidacao opcional</x:v>
      </x:c>
    </x:row>
    <x:row r="23">
      <x:c r="A23" s="23" t="str">
        <x:v>Python</x:v>
      </x:c>
      <x:c r="B23" s="23" t="n">
        <x:v>10</x:v>
      </x:c>
      <x:c r="C23" s="23" t="str">
        <x:v>Derivadas</x:v>
      </x:c>
      <x:c r="D23" s="23" t="str">
        <x:v>Sync automatico no incremental; csv/txt/tsv/xlsx/xlsm/xls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f69aba2bb5d41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12" hidden="0" customWidth="1"/>
    <x:col min="5" max="5" width="26" hidden="0" customWidth="1"/>
    <x:col min="6" max="6" width="24" hidden="0" customWidth="1"/>
  </x:cols>
  <x:sheetData>
    <x:row r="1" ht="28" customHeight="1">
      <x:c r="A1" s="3" t="str">
        <x:v>Cobertura dos aliases Python no C++</x:v>
      </x:c>
      <x:c r="B1" s="3"/>
      <x:c r="C1" s="3"/>
      <x:c r="D1" s="3"/>
      <x:c r="E1" s="3"/>
      <x:c r="F1" s="3"/>
    </x:row>
    <x:row r="2" ht="34" customHeight="1">
      <x:c r="A2" s="6" t="str">
        <x:v>184 aliases lidos diretamente de config/column_mappings.json e comparados pela normalizacao C++.</x:v>
      </x:c>
      <x:c r="B2" s="6"/>
      <x:c r="C2" s="6"/>
      <x:c r="D2" s="6"/>
      <x:c r="E2" s="6"/>
      <x:c r="F2" s="6"/>
    </x:row>
    <x:row r="4" ht="30" customHeight="1">
      <x:c r="A4" s="15" t="str">
        <x:v>Canonico Python</x:v>
      </x:c>
      <x:c r="B4" s="16" t="str">
        <x:v>Alias Python</x:v>
      </x:c>
      <x:c r="C4" s="16" t="str">
        <x:v>Normalizado C++</x:v>
      </x:c>
      <x:c r="D4" s="16" t="str">
        <x:v>Coberto</x:v>
      </x:c>
      <x:c r="E4" s="16" t="str">
        <x:v>Destino C++</x:v>
      </x:c>
      <x:c r="F4" s="17" t="str">
        <x:v>Classificacao</x:v>
      </x:c>
    </x:row>
    <x:row r="5">
      <x:c r="A5" s="22" t="str">
        <x:v>numero_ssa</x:v>
      </x:c>
      <x:c r="B5" s="22" t="str">
        <x:v>Nº SSA</x:v>
      </x:c>
      <x:c r="C5" s="22" t="str">
        <x:v>nº ssa</x:v>
      </x:c>
      <x:c r="D5" s="22" t="str">
        <x:v>Nao</x:v>
      </x:c>
      <x:c r="E5" s="22" t="str"/>
      <x:c r="F5" s="22" t="str">
        <x:v>Ausente</x:v>
      </x:c>
    </x:row>
    <x:row r="6">
      <x:c r="A6" s="23" t="str">
        <x:v>numero_ssa</x:v>
      </x:c>
      <x:c r="B6" s="23" t="str">
        <x:v>Nº SSA*</x:v>
      </x:c>
      <x:c r="C6" s="23" t="str">
        <x:v>nº ssa*</x:v>
      </x:c>
      <x:c r="D6" s="23" t="str">
        <x:v>Nao</x:v>
      </x:c>
      <x:c r="E6" s="23" t="str"/>
      <x:c r="F6" s="23" t="str">
        <x:v>Ausente</x:v>
      </x:c>
    </x:row>
    <x:row r="7">
      <x:c r="A7" s="23" t="str">
        <x:v>numero_ssa</x:v>
      </x:c>
      <x:c r="B7" s="23" t="str">
        <x:v>Nº SSA Original</x:v>
      </x:c>
      <x:c r="C7" s="23" t="str">
        <x:v>nº ssa original</x:v>
      </x:c>
      <x:c r="D7" s="23" t="str">
        <x:v>Nao</x:v>
      </x:c>
      <x:c r="E7" s="23" t="str"/>
      <x:c r="F7" s="23" t="str">
        <x:v>Ausente</x:v>
      </x:c>
    </x:row>
    <x:row r="8">
      <x:c r="A8" s="23" t="str">
        <x:v>numero_ssa</x:v>
      </x:c>
      <x:c r="B8" s="23" t="str">
        <x:v>Numero SSA</x:v>
      </x:c>
      <x:c r="C8" s="23" t="str">
        <x:v>numero ssa</x:v>
      </x:c>
      <x:c r="D8" s="23" t="str">
        <x:v>Sim</x:v>
      </x:c>
      <x:c r="E8" s="23" t="str">
        <x:v>numero_ssa</x:v>
      </x:c>
      <x:c r="F8" s="23" t="str">
        <x:v>Coberto</x:v>
      </x:c>
    </x:row>
    <x:row r="9">
      <x:c r="A9" s="23" t="str">
        <x:v>numero_ssa</x:v>
      </x:c>
      <x:c r="B9" s="23" t="str">
        <x:v>Nº da SSA</x:v>
      </x:c>
      <x:c r="C9" s="23" t="str">
        <x:v>nº da ssa</x:v>
      </x:c>
      <x:c r="D9" s="23" t="str">
        <x:v>Nao</x:v>
      </x:c>
      <x:c r="E9" s="23" t="str"/>
      <x:c r="F9" s="23" t="str">
        <x:v>Ausente</x:v>
      </x:c>
    </x:row>
    <x:row r="10">
      <x:c r="A10" s="23" t="str">
        <x:v>numero_ssa</x:v>
      </x:c>
      <x:c r="B10" s="23" t="str">
        <x:v>Número da SSA</x:v>
      </x:c>
      <x:c r="C10" s="23" t="str">
        <x:v>numero da ssa</x:v>
      </x:c>
      <x:c r="D10" s="23" t="str">
        <x:v>Sim</x:v>
      </x:c>
      <x:c r="E10" s="23" t="str">
        <x:v>numero_ssa</x:v>
      </x:c>
      <x:c r="F10" s="23" t="str">
        <x:v>Coberto</x:v>
      </x:c>
    </x:row>
    <x:row r="11">
      <x:c r="A11" s="23" t="str">
        <x:v>numero_ssa</x:v>
      </x:c>
      <x:c r="B11" s="23" t="str">
        <x:v>ssa_number</x:v>
      </x:c>
      <x:c r="C11" s="23" t="str">
        <x:v>ssa_number</x:v>
      </x:c>
      <x:c r="D11" s="23" t="str">
        <x:v>Nao</x:v>
      </x:c>
      <x:c r="E11" s="23" t="str"/>
      <x:c r="F11" s="23" t="str">
        <x:v>Ausente</x:v>
      </x:c>
    </x:row>
    <x:row r="12">
      <x:c r="A12" s="23" t="str">
        <x:v>numero_ssa</x:v>
      </x:c>
      <x:c r="B12" s="23" t="str">
        <x:v>SSA Number</x:v>
      </x:c>
      <x:c r="C12" s="23" t="str">
        <x:v>ssa number</x:v>
      </x:c>
      <x:c r="D12" s="23" t="str">
        <x:v>Nao</x:v>
      </x:c>
      <x:c r="E12" s="23" t="str"/>
      <x:c r="F12" s="23" t="str">
        <x:v>Ausente</x:v>
      </x:c>
    </x:row>
    <x:row r="13">
      <x:c r="A13" s="23" t="str">
        <x:v>numero_ssa</x:v>
      </x:c>
      <x:c r="B13" s="23" t="str">
        <x:v>SSANumber</x:v>
      </x:c>
      <x:c r="C13" s="23" t="str">
        <x:v>ssanumber</x:v>
      </x:c>
      <x:c r="D13" s="23" t="str">
        <x:v>Nao</x:v>
      </x:c>
      <x:c r="E13" s="23" t="str"/>
      <x:c r="F13" s="23" t="str">
        <x:v>Ausente</x:v>
      </x:c>
    </x:row>
    <x:row r="14">
      <x:c r="A14" s="23" t="str">
        <x:v>numero_ssa</x:v>
      </x:c>
      <x:c r="B14" s="23" t="str">
        <x:v>Numero de SSA</x:v>
      </x:c>
      <x:c r="C14" s="23" t="str">
        <x:v>numero de ssa</x:v>
      </x:c>
      <x:c r="D14" s="23" t="str">
        <x:v>Nao</x:v>
      </x:c>
      <x:c r="E14" s="23" t="str"/>
      <x:c r="F14" s="23" t="str">
        <x:v>Ausente</x:v>
      </x:c>
    </x:row>
    <x:row r="15">
      <x:c r="A15" s="23" t="str">
        <x:v>numero_ssa</x:v>
      </x:c>
      <x:c r="B15" s="23" t="str">
        <x:v>Numero de la SSA</x:v>
      </x:c>
      <x:c r="C15" s="23" t="str">
        <x:v>numero de la ssa</x:v>
      </x:c>
      <x:c r="D15" s="23" t="str">
        <x:v>Nao</x:v>
      </x:c>
      <x:c r="E15" s="23" t="str"/>
      <x:c r="F15" s="23" t="str">
        <x:v>Ausente</x:v>
      </x:c>
    </x:row>
    <x:row r="16">
      <x:c r="A16" s="23" t="str">
        <x:v>situacao</x:v>
      </x:c>
      <x:c r="B16" s="23" t="str">
        <x:v>Situação</x:v>
      </x:c>
      <x:c r="C16" s="23" t="str">
        <x:v>situacao</x:v>
      </x:c>
      <x:c r="D16" s="23" t="str">
        <x:v>Sim</x:v>
      </x:c>
      <x:c r="E16" s="23" t="str">
        <x:v>situacao</x:v>
      </x:c>
      <x:c r="F16" s="23" t="str">
        <x:v>Coberto</x:v>
      </x:c>
    </x:row>
    <x:row r="17">
      <x:c r="A17" s="23" t="str">
        <x:v>situacao</x:v>
      </x:c>
      <x:c r="B17" s="23" t="str">
        <x:v>Situacao</x:v>
      </x:c>
      <x:c r="C17" s="23" t="str">
        <x:v>situacao</x:v>
      </x:c>
      <x:c r="D17" s="23" t="str">
        <x:v>Sim</x:v>
      </x:c>
      <x:c r="E17" s="23" t="str">
        <x:v>situacao</x:v>
      </x:c>
      <x:c r="F17" s="23" t="str">
        <x:v>Coberto</x:v>
      </x:c>
    </x:row>
    <x:row r="18">
      <x:c r="A18" s="23" t="str">
        <x:v>situacao</x:v>
      </x:c>
      <x:c r="B18" s="23" t="str">
        <x:v>Status</x:v>
      </x:c>
      <x:c r="C18" s="23" t="str">
        <x:v>status</x:v>
      </x:c>
      <x:c r="D18" s="23" t="str">
        <x:v>Sim</x:v>
      </x:c>
      <x:c r="E18" s="23" t="str">
        <x:v>situacao</x:v>
      </x:c>
      <x:c r="F18" s="23" t="str">
        <x:v>Coberto</x:v>
      </x:c>
    </x:row>
    <x:row r="19">
      <x:c r="A19" s="23" t="str">
        <x:v>situacao</x:v>
      </x:c>
      <x:c r="B19" s="23" t="str">
        <x:v>situation</x:v>
      </x:c>
      <x:c r="C19" s="23" t="str">
        <x:v>situation</x:v>
      </x:c>
      <x:c r="D19" s="23" t="str">
        <x:v>Nao</x:v>
      </x:c>
      <x:c r="E19" s="23" t="str"/>
      <x:c r="F19" s="23" t="str">
        <x:v>Ausente</x:v>
      </x:c>
    </x:row>
    <x:row r="20">
      <x:c r="A20" s="23" t="str">
        <x:v>situacao</x:v>
      </x:c>
      <x:c r="B20" s="23" t="str">
        <x:v>situation_desc</x:v>
      </x:c>
      <x:c r="C20" s="23" t="str">
        <x:v>situation_desc</x:v>
      </x:c>
      <x:c r="D20" s="23" t="str">
        <x:v>Nao</x:v>
      </x:c>
      <x:c r="E20" s="23" t="str"/>
      <x:c r="F20" s="23" t="str">
        <x:v>Ausente</x:v>
      </x:c>
    </x:row>
    <x:row r="21">
      <x:c r="A21" s="23" t="str">
        <x:v>situacao</x:v>
      </x:c>
      <x:c r="B21" s="23" t="str">
        <x:v>Situation</x:v>
      </x:c>
      <x:c r="C21" s="23" t="str">
        <x:v>situation</x:v>
      </x:c>
      <x:c r="D21" s="23" t="str">
        <x:v>Nao</x:v>
      </x:c>
      <x:c r="E21" s="23" t="str"/>
      <x:c r="F21" s="23" t="str">
        <x:v>Ausente</x:v>
      </x:c>
    </x:row>
    <x:row r="22">
      <x:c r="A22" s="23" t="str">
        <x:v>situacao</x:v>
      </x:c>
      <x:c r="B22" s="23" t="str">
        <x:v>SituationDesc</x:v>
      </x:c>
      <x:c r="C22" s="23" t="str">
        <x:v>situationdesc</x:v>
      </x:c>
      <x:c r="D22" s="23" t="str">
        <x:v>Nao</x:v>
      </x:c>
      <x:c r="E22" s="23" t="str"/>
      <x:c r="F22" s="23" t="str">
        <x:v>Ausente</x:v>
      </x:c>
    </x:row>
    <x:row r="23">
      <x:c r="A23" s="23" t="str">
        <x:v>situacao</x:v>
      </x:c>
      <x:c r="B23" s="23" t="str">
        <x:v>Situacion</x:v>
      </x:c>
      <x:c r="C23" s="23" t="str">
        <x:v>situacion</x:v>
      </x:c>
      <x:c r="D23" s="23" t="str">
        <x:v>Nao</x:v>
      </x:c>
      <x:c r="E23" s="23" t="str"/>
      <x:c r="F23" s="23" t="str">
        <x:v>Ausente</x:v>
      </x:c>
    </x:row>
    <x:row r="24">
      <x:c r="A24" s="23" t="str">
        <x:v>situacao</x:v>
      </x:c>
      <x:c r="B24" s="23" t="str">
        <x:v>Situación</x:v>
      </x:c>
      <x:c r="C24" s="23" t="str">
        <x:v>situacion</x:v>
      </x:c>
      <x:c r="D24" s="23" t="str">
        <x:v>Nao</x:v>
      </x:c>
      <x:c r="E24" s="23" t="str"/>
      <x:c r="F24" s="23" t="str">
        <x:v>Ausente</x:v>
      </x:c>
    </x:row>
    <x:row r="25">
      <x:c r="A25" s="23" t="str">
        <x:v>situacao</x:v>
      </x:c>
      <x:c r="B25" s="23" t="str">
        <x:v>Estado</x:v>
      </x:c>
      <x:c r="C25" s="23" t="str">
        <x:v>estado</x:v>
      </x:c>
      <x:c r="D25" s="23" t="str">
        <x:v>Nao</x:v>
      </x:c>
      <x:c r="E25" s="23" t="str"/>
      <x:c r="F25" s="23" t="str">
        <x:v>Ausente</x:v>
      </x:c>
    </x:row>
    <x:row r="26">
      <x:c r="A26" s="23" t="str">
        <x:v>situacao</x:v>
      </x:c>
      <x:c r="B26" s="23" t="str">
        <x:v>process_status</x:v>
      </x:c>
      <x:c r="C26" s="23" t="str">
        <x:v>process_status</x:v>
      </x:c>
      <x:c r="D26" s="23" t="str">
        <x:v>Nao</x:v>
      </x:c>
      <x:c r="E26" s="23" t="str"/>
      <x:c r="F26" s="23" t="str">
        <x:v>Ausente</x:v>
      </x:c>
    </x:row>
    <x:row r="27">
      <x:c r="A27" s="23" t="str">
        <x:v>derivada_de</x:v>
      </x:c>
      <x:c r="B27" s="23" t="str">
        <x:v>Derivada de</x:v>
      </x:c>
      <x:c r="C27" s="23" t="str">
        <x:v>derivada de</x:v>
      </x:c>
      <x:c r="D27" s="23" t="str">
        <x:v>Sim</x:v>
      </x:c>
      <x:c r="E27" s="23" t="str">
        <x:v>derivada_de</x:v>
      </x:c>
      <x:c r="F27" s="23" t="str">
        <x:v>Coberto</x:v>
      </x:c>
    </x:row>
    <x:row r="28">
      <x:c r="A28" s="23" t="str">
        <x:v>derivada_de</x:v>
      </x:c>
      <x:c r="B28" s="23" t="str">
        <x:v>Derivada De</x:v>
      </x:c>
      <x:c r="C28" s="23" t="str">
        <x:v>derivada de</x:v>
      </x:c>
      <x:c r="D28" s="23" t="str">
        <x:v>Sim</x:v>
      </x:c>
      <x:c r="E28" s="23" t="str">
        <x:v>derivada_de</x:v>
      </x:c>
      <x:c r="F28" s="23" t="str">
        <x:v>Coberto</x:v>
      </x:c>
    </x:row>
    <x:row r="29">
      <x:c r="A29" s="23" t="str">
        <x:v>localizacao_codigo</x:v>
      </x:c>
      <x:c r="B29" s="23" t="str">
        <x:v>Loc.</x:v>
      </x:c>
      <x:c r="C29" s="23" t="str">
        <x:v>loc.</x:v>
      </x:c>
      <x:c r="D29" s="23" t="str">
        <x:v>Sim</x:v>
      </x:c>
      <x:c r="E29" s="23" t="str">
        <x:v>localizacao_codigo</x:v>
      </x:c>
      <x:c r="F29" s="23" t="str">
        <x:v>Coberto</x:v>
      </x:c>
    </x:row>
    <x:row r="30">
      <x:c r="A30" s="23" t="str">
        <x:v>localizacao_codigo</x:v>
      </x:c>
      <x:c r="B30" s="23" t="str">
        <x:v>Localização</x:v>
      </x:c>
      <x:c r="C30" s="23" t="str">
        <x:v>localizacao</x:v>
      </x:c>
      <x:c r="D30" s="23" t="str">
        <x:v>Sim</x:v>
      </x:c>
      <x:c r="E30" s="23" t="str">
        <x:v>localizacao_codigo</x:v>
      </x:c>
      <x:c r="F30" s="23" t="str">
        <x:v>Coberto</x:v>
      </x:c>
    </x:row>
    <x:row r="31">
      <x:c r="A31" s="23" t="str">
        <x:v>localizacao_codigo</x:v>
      </x:c>
      <x:c r="B31" s="23" t="str">
        <x:v>Cod. Localização</x:v>
      </x:c>
      <x:c r="C31" s="23" t="str">
        <x:v>cod. localizacao</x:v>
      </x:c>
      <x:c r="D31" s="23" t="str">
        <x:v>Sim</x:v>
      </x:c>
      <x:c r="E31" s="23" t="str">
        <x:v>localizacao_codigo</x:v>
      </x:c>
      <x:c r="F31" s="23" t="str">
        <x:v>Coberto</x:v>
      </x:c>
    </x:row>
    <x:row r="32">
      <x:c r="A32" s="23" t="str">
        <x:v>localizacao_codigo</x:v>
      </x:c>
      <x:c r="B32" s="23" t="str">
        <x:v>Codigo Localizacao</x:v>
      </x:c>
      <x:c r="C32" s="23" t="str">
        <x:v>codigo localizacao</x:v>
      </x:c>
      <x:c r="D32" s="23" t="str">
        <x:v>Sim</x:v>
      </x:c>
      <x:c r="E32" s="23" t="str">
        <x:v>localizacao_codigo</x:v>
      </x:c>
      <x:c r="F32" s="23" t="str">
        <x:v>Coberto</x:v>
      </x:c>
    </x:row>
    <x:row r="33">
      <x:c r="A33" s="23" t="str">
        <x:v>localizacao_codigo</x:v>
      </x:c>
      <x:c r="B33" s="23" t="str">
        <x:v>localization</x:v>
      </x:c>
      <x:c r="C33" s="23" t="str">
        <x:v>localization</x:v>
      </x:c>
      <x:c r="D33" s="23" t="str">
        <x:v>Nao</x:v>
      </x:c>
      <x:c r="E33" s="23" t="str"/>
      <x:c r="F33" s="23" t="str">
        <x:v>Ausente</x:v>
      </x:c>
    </x:row>
    <x:row r="34">
      <x:c r="A34" s="23" t="str">
        <x:v>localizacao_codigo</x:v>
      </x:c>
      <x:c r="B34" s="23" t="str">
        <x:v>Localization</x:v>
      </x:c>
      <x:c r="C34" s="23" t="str">
        <x:v>localization</x:v>
      </x:c>
      <x:c r="D34" s="23" t="str">
        <x:v>Nao</x:v>
      </x:c>
      <x:c r="E34" s="23" t="str"/>
      <x:c r="F34" s="23" t="str">
        <x:v>Ausente</x:v>
      </x:c>
    </x:row>
    <x:row r="35">
      <x:c r="A35" s="23" t="str">
        <x:v>localizacao_codigo</x:v>
      </x:c>
      <x:c r="B35" s="23" t="str">
        <x:v>localizacion</x:v>
      </x:c>
      <x:c r="C35" s="23" t="str">
        <x:v>localizacion</x:v>
      </x:c>
      <x:c r="D35" s="23" t="str">
        <x:v>Nao</x:v>
      </x:c>
      <x:c r="E35" s="23" t="str"/>
      <x:c r="F35" s="23" t="str">
        <x:v>Ausente</x:v>
      </x:c>
    </x:row>
    <x:row r="36">
      <x:c r="A36" s="23" t="str">
        <x:v>localizacao_codigo</x:v>
      </x:c>
      <x:c r="B36" s="23" t="str">
        <x:v>Localizacion</x:v>
      </x:c>
      <x:c r="C36" s="23" t="str">
        <x:v>localizacion</x:v>
      </x:c>
      <x:c r="D36" s="23" t="str">
        <x:v>Nao</x:v>
      </x:c>
      <x:c r="E36" s="23" t="str"/>
      <x:c r="F36" s="23" t="str">
        <x:v>Ausente</x:v>
      </x:c>
    </x:row>
    <x:row r="37">
      <x:c r="A37" s="23" t="str">
        <x:v>localizacao_codigo</x:v>
      </x:c>
      <x:c r="B37" s="23" t="str">
        <x:v>Ubicacion</x:v>
      </x:c>
      <x:c r="C37" s="23" t="str">
        <x:v>ubicacion</x:v>
      </x:c>
      <x:c r="D37" s="23" t="str">
        <x:v>Nao</x:v>
      </x:c>
      <x:c r="E37" s="23" t="str"/>
      <x:c r="F37" s="23" t="str">
        <x:v>Ausente</x:v>
      </x:c>
    </x:row>
    <x:row r="38">
      <x:c r="A38" s="23" t="str">
        <x:v>localizacao_codigo</x:v>
      </x:c>
      <x:c r="B38" s="23" t="str">
        <x:v>Ubicación</x:v>
      </x:c>
      <x:c r="C38" s="23" t="str">
        <x:v>ubicacion</x:v>
      </x:c>
      <x:c r="D38" s="23" t="str">
        <x:v>Nao</x:v>
      </x:c>
      <x:c r="E38" s="23" t="str"/>
      <x:c r="F38" s="23" t="str">
        <x:v>Ausente</x:v>
      </x:c>
    </x:row>
    <x:row r="39">
      <x:c r="A39" s="23" t="str">
        <x:v>descricao_localizacao</x:v>
      </x:c>
      <x:c r="B39" s="23" t="str">
        <x:v>Desc. Loc.</x:v>
      </x:c>
      <x:c r="C39" s="23" t="str">
        <x:v>desc. loc.</x:v>
      </x:c>
      <x:c r="D39" s="23" t="str">
        <x:v>Sim</x:v>
      </x:c>
      <x:c r="E39" s="23" t="str">
        <x:v>descricao_localizacao</x:v>
      </x:c>
      <x:c r="F39" s="23" t="str">
        <x:v>Coberto</x:v>
      </x:c>
    </x:row>
    <x:row r="40">
      <x:c r="A40" s="23" t="str">
        <x:v>descricao_localizacao</x:v>
      </x:c>
      <x:c r="B40" s="23" t="str">
        <x:v>Descrição da Localização</x:v>
      </x:c>
      <x:c r="C40" s="23" t="str">
        <x:v>descricao da localizacao</x:v>
      </x:c>
      <x:c r="D40" s="23" t="str">
        <x:v>Sim</x:v>
      </x:c>
      <x:c r="E40" s="23" t="str">
        <x:v>descricao_localizacao</x:v>
      </x:c>
      <x:c r="F40" s="23" t="str">
        <x:v>Coberto</x:v>
      </x:c>
    </x:row>
    <x:row r="41">
      <x:c r="A41" s="23" t="str">
        <x:v>descricao_localizacao</x:v>
      </x:c>
      <x:c r="B41" s="23" t="str">
        <x:v>Descricao Localizacao</x:v>
      </x:c>
      <x:c r="C41" s="23" t="str">
        <x:v>descricao localizacao</x:v>
      </x:c>
      <x:c r="D41" s="23" t="str">
        <x:v>Sim</x:v>
      </x:c>
      <x:c r="E41" s="23" t="str">
        <x:v>descricao_localizacao</x:v>
      </x:c>
      <x:c r="F41" s="23" t="str">
        <x:v>Coberto</x:v>
      </x:c>
    </x:row>
    <x:row r="42">
      <x:c r="A42" s="23" t="str">
        <x:v>equipamento</x:v>
      </x:c>
      <x:c r="B42" s="23" t="str">
        <x:v>Equip.</x:v>
      </x:c>
      <x:c r="C42" s="23" t="str">
        <x:v>equip.</x:v>
      </x:c>
      <x:c r="D42" s="23" t="str">
        <x:v>Sim</x:v>
      </x:c>
      <x:c r="E42" s="23" t="str">
        <x:v>equipamento</x:v>
      </x:c>
      <x:c r="F42" s="23" t="str">
        <x:v>Coberto</x:v>
      </x:c>
    </x:row>
    <x:row r="43">
      <x:c r="A43" s="23" t="str">
        <x:v>equipamento</x:v>
      </x:c>
      <x:c r="B43" s="23" t="str">
        <x:v>Equipamento</x:v>
      </x:c>
      <x:c r="C43" s="23" t="str">
        <x:v>equipamento</x:v>
      </x:c>
      <x:c r="D43" s="23" t="str">
        <x:v>Sim</x:v>
      </x:c>
      <x:c r="E43" s="23" t="str">
        <x:v>equipamento</x:v>
      </x:c>
      <x:c r="F43" s="23" t="str">
        <x:v>Coberto</x:v>
      </x:c>
    </x:row>
    <x:row r="44">
      <x:c r="A44" s="23" t="str">
        <x:v>semana_cadastro</x:v>
      </x:c>
      <x:c r="B44" s="23" t="str">
        <x:v>Sem.
Cadastro</x:v>
      </x:c>
      <x:c r="C44" s="23" t="str">
        <x:v>sem. cadastro</x:v>
      </x:c>
      <x:c r="D44" s="23" t="str">
        <x:v>Sim</x:v>
      </x:c>
      <x:c r="E44" s="23" t="str">
        <x:v>semana_cadastro</x:v>
      </x:c>
      <x:c r="F44" s="23" t="str">
        <x:v>Coberto</x:v>
      </x:c>
    </x:row>
    <x:row r="45">
      <x:c r="A45" s="23" t="str">
        <x:v>semana_cadastro</x:v>
      </x:c>
      <x:c r="B45" s="23" t="str">
        <x:v>Sem. Cadastro</x:v>
      </x:c>
      <x:c r="C45" s="23" t="str">
        <x:v>sem. cadastro</x:v>
      </x:c>
      <x:c r="D45" s="23" t="str">
        <x:v>Sim</x:v>
      </x:c>
      <x:c r="E45" s="23" t="str">
        <x:v>semana_cadastro</x:v>
      </x:c>
      <x:c r="F45" s="23" t="str">
        <x:v>Coberto</x:v>
      </x:c>
    </x:row>
    <x:row r="46">
      <x:c r="A46" s="23" t="str">
        <x:v>semana_cadastro</x:v>
      </x:c>
      <x:c r="B46" s="23" t="str">
        <x:v>Semana Cadastro</x:v>
      </x:c>
      <x:c r="C46" s="23" t="str">
        <x:v>semana cadastro</x:v>
      </x:c>
      <x:c r="D46" s="23" t="str">
        <x:v>Sim</x:v>
      </x:c>
      <x:c r="E46" s="23" t="str">
        <x:v>semana_cadastro</x:v>
      </x:c>
      <x:c r="F46" s="23" t="str">
        <x:v>Coberto</x:v>
      </x:c>
    </x:row>
    <x:row r="47">
      <x:c r="A47" s="23" t="str">
        <x:v>semana_cadastro</x:v>
      </x:c>
      <x:c r="B47" s="23" t="str">
        <x:v>Semana de Cadastro</x:v>
      </x:c>
      <x:c r="C47" s="23" t="str">
        <x:v>semana de cadastro</x:v>
      </x:c>
      <x:c r="D47" s="23" t="str">
        <x:v>Sim</x:v>
      </x:c>
      <x:c r="E47" s="23" t="str">
        <x:v>semana_cadastro</x:v>
      </x:c>
      <x:c r="F47" s="23" t="str">
        <x:v>Coberto</x:v>
      </x:c>
    </x:row>
    <x:row r="48">
      <x:c r="A48" s="23" t="str">
        <x:v>semana_cadastro</x:v>
      </x:c>
      <x:c r="B48" s="23" t="str">
        <x:v>year_week</x:v>
      </x:c>
      <x:c r="C48" s="23" t="str">
        <x:v>year_week</x:v>
      </x:c>
      <x:c r="D48" s="23" t="str">
        <x:v>Nao</x:v>
      </x:c>
      <x:c r="E48" s="23" t="str"/>
      <x:c r="F48" s="23" t="str">
        <x:v>Ausente</x:v>
      </x:c>
    </x:row>
    <x:row r="49">
      <x:c r="A49" s="23" t="str">
        <x:v>semana_cadastro</x:v>
      </x:c>
      <x:c r="B49" s="23" t="str">
        <x:v>Year Week</x:v>
      </x:c>
      <x:c r="C49" s="23" t="str">
        <x:v>year week</x:v>
      </x:c>
      <x:c r="D49" s="23" t="str">
        <x:v>Nao</x:v>
      </x:c>
      <x:c r="E49" s="23" t="str"/>
      <x:c r="F49" s="23" t="str">
        <x:v>Ausente</x:v>
      </x:c>
    </x:row>
    <x:row r="50">
      <x:c r="A50" s="23" t="str">
        <x:v>semana_cadastro</x:v>
      </x:c>
      <x:c r="B50" s="23" t="str">
        <x:v>Ano Semana</x:v>
      </x:c>
      <x:c r="C50" s="23" t="str">
        <x:v>ano semana</x:v>
      </x:c>
      <x:c r="D50" s="23" t="str">
        <x:v>Nao</x:v>
      </x:c>
      <x:c r="E50" s="23" t="str"/>
      <x:c r="F50" s="23" t="str">
        <x:v>Ausente</x:v>
      </x:c>
    </x:row>
    <x:row r="51">
      <x:c r="A51" s="23" t="str">
        <x:v>semana_cadastro</x:v>
      </x:c>
      <x:c r="B51" s="23" t="str">
        <x:v>Ano-Semana</x:v>
      </x:c>
      <x:c r="C51" s="23" t="str">
        <x:v>ano-semana</x:v>
      </x:c>
      <x:c r="D51" s="23" t="str">
        <x:v>Nao</x:v>
      </x:c>
      <x:c r="E51" s="23" t="str"/>
      <x:c r="F51" s="23" t="str">
        <x:v>Ausente</x:v>
      </x:c>
    </x:row>
    <x:row r="52">
      <x:c r="A52" s="23" t="str">
        <x:v>data_cadastro</x:v>
      </x:c>
      <x:c r="B52" s="23" t="str">
        <x:v>Emitida Em</x:v>
      </x:c>
      <x:c r="C52" s="23" t="str">
        <x:v>emitida em</x:v>
      </x:c>
      <x:c r="D52" s="23" t="str">
        <x:v>Sim</x:v>
      </x:c>
      <x:c r="E52" s="23" t="str">
        <x:v>data_cadastro</x:v>
      </x:c>
      <x:c r="F52" s="23" t="str">
        <x:v>Coberto</x:v>
      </x:c>
    </x:row>
    <x:row r="53">
      <x:c r="A53" s="23" t="str">
        <x:v>data_cadastro</x:v>
      </x:c>
      <x:c r="B53" s="23" t="str">
        <x:v>Data de Emissão</x:v>
      </x:c>
      <x:c r="C53" s="23" t="str">
        <x:v>data de emissao</x:v>
      </x:c>
      <x:c r="D53" s="23" t="str">
        <x:v>Sim</x:v>
      </x:c>
      <x:c r="E53" s="23" t="str">
        <x:v>data_cadastro</x:v>
      </x:c>
      <x:c r="F53" s="23" t="str">
        <x:v>Coberto</x:v>
      </x:c>
    </x:row>
    <x:row r="54">
      <x:c r="A54" s="23" t="str">
        <x:v>data_cadastro</x:v>
      </x:c>
      <x:c r="B54" s="23" t="str">
        <x:v>Data Cadastro</x:v>
      </x:c>
      <x:c r="C54" s="23" t="str">
        <x:v>data cadastro</x:v>
      </x:c>
      <x:c r="D54" s="23" t="str">
        <x:v>Sim</x:v>
      </x:c>
      <x:c r="E54" s="23" t="str">
        <x:v>data_cadastro</x:v>
      </x:c>
      <x:c r="F54" s="23" t="str">
        <x:v>Coberto</x:v>
      </x:c>
    </x:row>
    <x:row r="55">
      <x:c r="A55" s="23" t="str">
        <x:v>data_cadastro</x:v>
      </x:c>
      <x:c r="B55" s="23" t="str">
        <x:v>Data/Hora de Cadastro</x:v>
      </x:c>
      <x:c r="C55" s="23" t="str">
        <x:v>data/hora de cadastro</x:v>
      </x:c>
      <x:c r="D55" s="23" t="str">
        <x:v>Sim</x:v>
      </x:c>
      <x:c r="E55" s="23" t="str">
        <x:v>data_cadastro</x:v>
      </x:c>
      <x:c r="F55" s="23" t="str">
        <x:v>Coberto</x:v>
      </x:c>
    </x:row>
    <x:row r="56">
      <x:c r="A56" s="23" t="str">
        <x:v>data_cadastro</x:v>
      </x:c>
      <x:c r="B56" s="23" t="str">
        <x:v>issue_datetime</x:v>
      </x:c>
      <x:c r="C56" s="23" t="str">
        <x:v>issue_datetime</x:v>
      </x:c>
      <x:c r="D56" s="23" t="str">
        <x:v>Nao</x:v>
      </x:c>
      <x:c r="E56" s="23" t="str"/>
      <x:c r="F56" s="23" t="str">
        <x:v>Ausente</x:v>
      </x:c>
    </x:row>
    <x:row r="57">
      <x:c r="A57" s="23" t="str">
        <x:v>data_cadastro</x:v>
      </x:c>
      <x:c r="B57" s="23" t="str">
        <x:v>emission_datetime</x:v>
      </x:c>
      <x:c r="C57" s="23" t="str">
        <x:v>emission_datetime</x:v>
      </x:c>
      <x:c r="D57" s="23" t="str">
        <x:v>Nao</x:v>
      </x:c>
      <x:c r="E57" s="23" t="str"/>
      <x:c r="F57" s="23" t="str">
        <x:v>Ausente</x:v>
      </x:c>
    </x:row>
    <x:row r="58">
      <x:c r="A58" s="23" t="str">
        <x:v>data_cadastro</x:v>
      </x:c>
      <x:c r="B58" s="23" t="str">
        <x:v>Issue Datetime</x:v>
      </x:c>
      <x:c r="C58" s="23" t="str">
        <x:v>issue datetime</x:v>
      </x:c>
      <x:c r="D58" s="23" t="str">
        <x:v>Nao</x:v>
      </x:c>
      <x:c r="E58" s="23" t="str"/>
      <x:c r="F58" s="23" t="str">
        <x:v>Ausente</x:v>
      </x:c>
    </x:row>
    <x:row r="59">
      <x:c r="A59" s="23" t="str">
        <x:v>data_cadastro</x:v>
      </x:c>
      <x:c r="B59" s="23" t="str">
        <x:v>Emission Datetime</x:v>
      </x:c>
      <x:c r="C59" s="23" t="str">
        <x:v>emission datetime</x:v>
      </x:c>
      <x:c r="D59" s="23" t="str">
        <x:v>Nao</x:v>
      </x:c>
      <x:c r="E59" s="23" t="str"/>
      <x:c r="F59" s="23" t="str">
        <x:v>Ausente</x:v>
      </x:c>
    </x:row>
    <x:row r="60">
      <x:c r="A60" s="23" t="str">
        <x:v>data_cadastro</x:v>
      </x:c>
      <x:c r="B60" s="23" t="str">
        <x:v>Fecha Emision</x:v>
      </x:c>
      <x:c r="C60" s="23" t="str">
        <x:v>fecha emision</x:v>
      </x:c>
      <x:c r="D60" s="23" t="str">
        <x:v>Nao</x:v>
      </x:c>
      <x:c r="E60" s="23" t="str"/>
      <x:c r="F60" s="23" t="str">
        <x:v>Ausente</x:v>
      </x:c>
    </x:row>
    <x:row r="61">
      <x:c r="A61" s="23" t="str">
        <x:v>data_cadastro</x:v>
      </x:c>
      <x:c r="B61" s="23" t="str">
        <x:v>Fecha de Emision</x:v>
      </x:c>
      <x:c r="C61" s="23" t="str">
        <x:v>fecha de emision</x:v>
      </x:c>
      <x:c r="D61" s="23" t="str">
        <x:v>Nao</x:v>
      </x:c>
      <x:c r="E61" s="23" t="str"/>
      <x:c r="F61" s="23" t="str">
        <x:v>Ausente</x:v>
      </x:c>
    </x:row>
    <x:row r="62">
      <x:c r="A62" s="23" t="str">
        <x:v>data_cadastro</x:v>
      </x:c>
      <x:c r="B62" s="23" t="str">
        <x:v>Fecha de Emisión</x:v>
      </x:c>
      <x:c r="C62" s="23" t="str">
        <x:v>fecha de emision</x:v>
      </x:c>
      <x:c r="D62" s="23" t="str">
        <x:v>Nao</x:v>
      </x:c>
      <x:c r="E62" s="23" t="str"/>
      <x:c r="F62" s="23" t="str">
        <x:v>Ausente</x:v>
      </x:c>
    </x:row>
    <x:row r="63">
      <x:c r="A63" s="23" t="str">
        <x:v>descricao_ssa</x:v>
      </x:c>
      <x:c r="B63" s="23" t="str">
        <x:v>Descrição da SSA</x:v>
      </x:c>
      <x:c r="C63" s="23" t="str">
        <x:v>descricao da ssa</x:v>
      </x:c>
      <x:c r="D63" s="23" t="str">
        <x:v>Sim</x:v>
      </x:c>
      <x:c r="E63" s="23" t="str">
        <x:v>descricao_ssa</x:v>
      </x:c>
      <x:c r="F63" s="23" t="str">
        <x:v>Coberto</x:v>
      </x:c>
    </x:row>
    <x:row r="64">
      <x:c r="A64" s="23" t="str">
        <x:v>descricao_ssa</x:v>
      </x:c>
      <x:c r="B64" s="23" t="str">
        <x:v>Descricao da SSA</x:v>
      </x:c>
      <x:c r="C64" s="23" t="str">
        <x:v>descricao da ssa</x:v>
      </x:c>
      <x:c r="D64" s="23" t="str">
        <x:v>Sim</x:v>
      </x:c>
      <x:c r="E64" s="23" t="str">
        <x:v>descricao_ssa</x:v>
      </x:c>
      <x:c r="F64" s="23" t="str">
        <x:v>Coberto</x:v>
      </x:c>
    </x:row>
    <x:row r="65">
      <x:c r="A65" s="23" t="str">
        <x:v>descricao_ssa</x:v>
      </x:c>
      <x:c r="B65" s="23" t="str">
        <x:v>Descricao</x:v>
      </x:c>
      <x:c r="C65" s="23" t="str">
        <x:v>descricao</x:v>
      </x:c>
      <x:c r="D65" s="23" t="str">
        <x:v>Sim</x:v>
      </x:c>
      <x:c r="E65" s="23" t="str">
        <x:v>descricao_ssa</x:v>
      </x:c>
      <x:c r="F65" s="23" t="str">
        <x:v>Coberto</x:v>
      </x:c>
    </x:row>
    <x:row r="66">
      <x:c r="A66" s="23" t="str">
        <x:v>descricao_ssa</x:v>
      </x:c>
      <x:c r="B66" s="23" t="str">
        <x:v>description</x:v>
      </x:c>
      <x:c r="C66" s="23" t="str">
        <x:v>description</x:v>
      </x:c>
      <x:c r="D66" s="23" t="str">
        <x:v>Nao</x:v>
      </x:c>
      <x:c r="E66" s="23" t="str"/>
      <x:c r="F66" s="23" t="str">
        <x:v>Ausente</x:v>
      </x:c>
    </x:row>
    <x:row r="67">
      <x:c r="A67" s="23" t="str">
        <x:v>descricao_ssa</x:v>
      </x:c>
      <x:c r="B67" s="23" t="str">
        <x:v>Description</x:v>
      </x:c>
      <x:c r="C67" s="23" t="str">
        <x:v>description</x:v>
      </x:c>
      <x:c r="D67" s="23" t="str">
        <x:v>Nao</x:v>
      </x:c>
      <x:c r="E67" s="23" t="str"/>
      <x:c r="F67" s="23" t="str">
        <x:v>Ausente</x:v>
      </x:c>
    </x:row>
    <x:row r="68">
      <x:c r="A68" s="23" t="str">
        <x:v>descricao_ssa</x:v>
      </x:c>
      <x:c r="B68" s="23" t="str">
        <x:v>descripcion</x:v>
      </x:c>
      <x:c r="C68" s="23" t="str">
        <x:v>descripcion</x:v>
      </x:c>
      <x:c r="D68" s="23" t="str">
        <x:v>Nao</x:v>
      </x:c>
      <x:c r="E68" s="23" t="str"/>
      <x:c r="F68" s="23" t="str">
        <x:v>Ausente</x:v>
      </x:c>
    </x:row>
    <x:row r="69">
      <x:c r="A69" s="23" t="str">
        <x:v>descricao_ssa</x:v>
      </x:c>
      <x:c r="B69" s="23" t="str">
        <x:v>Descripción</x:v>
      </x:c>
      <x:c r="C69" s="23" t="str">
        <x:v>descripcion</x:v>
      </x:c>
      <x:c r="D69" s="23" t="str">
        <x:v>Nao</x:v>
      </x:c>
      <x:c r="E69" s="23" t="str"/>
      <x:c r="F69" s="23" t="str">
        <x:v>Ausente</x:v>
      </x:c>
    </x:row>
    <x:row r="70">
      <x:c r="A70" s="23" t="str">
        <x:v>descricao_ssa</x:v>
      </x:c>
      <x:c r="B70" s="23" t="str">
        <x:v>Descripcion</x:v>
      </x:c>
      <x:c r="C70" s="23" t="str">
        <x:v>descripcion</x:v>
      </x:c>
      <x:c r="D70" s="23" t="str">
        <x:v>Nao</x:v>
      </x:c>
      <x:c r="E70" s="23" t="str"/>
      <x:c r="F70" s="23" t="str">
        <x:v>Ausente</x:v>
      </x:c>
    </x:row>
    <x:row r="71">
      <x:c r="A71" s="23" t="str">
        <x:v>descricao_ssa</x:v>
      </x:c>
      <x:c r="B71" s="23" t="str">
        <x:v>Descripcion de la SSA</x:v>
      </x:c>
      <x:c r="C71" s="23" t="str">
        <x:v>descripcion de la ssa</x:v>
      </x:c>
      <x:c r="D71" s="23" t="str">
        <x:v>Nao</x:v>
      </x:c>
      <x:c r="E71" s="23" t="str"/>
      <x:c r="F71" s="23" t="str">
        <x:v>Ausente</x:v>
      </x:c>
    </x:row>
    <x:row r="72">
      <x:c r="A72" s="23" t="str">
        <x:v>descricao_ssa</x:v>
      </x:c>
      <x:c r="B72" s="23" t="str">
        <x:v>Descripción de la SSA</x:v>
      </x:c>
      <x:c r="C72" s="23" t="str">
        <x:v>descripcion de la ssa</x:v>
      </x:c>
      <x:c r="D72" s="23" t="str">
        <x:v>Nao</x:v>
      </x:c>
      <x:c r="E72" s="23" t="str"/>
      <x:c r="F72" s="23" t="str">
        <x:v>Ausente</x:v>
      </x:c>
    </x:row>
    <x:row r="73">
      <x:c r="A73" s="23" t="str">
        <x:v>setor_emissor</x:v>
      </x:c>
      <x:c r="B73" s="23" t="str">
        <x:v>Emissor</x:v>
      </x:c>
      <x:c r="C73" s="23" t="str">
        <x:v>emissor</x:v>
      </x:c>
      <x:c r="D73" s="23" t="str">
        <x:v>Sim</x:v>
      </x:c>
      <x:c r="E73" s="23" t="str">
        <x:v>setor_emissor</x:v>
      </x:c>
      <x:c r="F73" s="23" t="str">
        <x:v>Coberto</x:v>
      </x:c>
    </x:row>
    <x:row r="74">
      <x:c r="A74" s="23" t="str">
        <x:v>setor_emissor</x:v>
      </x:c>
      <x:c r="B74" s="23" t="str">
        <x:v>Setor Emissor</x:v>
      </x:c>
      <x:c r="C74" s="23" t="str">
        <x:v>setor emissor</x:v>
      </x:c>
      <x:c r="D74" s="23" t="str">
        <x:v>Sim</x:v>
      </x:c>
      <x:c r="E74" s="23" t="str">
        <x:v>setor_emissor</x:v>
      </x:c>
      <x:c r="F74" s="23" t="str">
        <x:v>Coberto</x:v>
      </x:c>
    </x:row>
    <x:row r="75">
      <x:c r="A75" s="23" t="str">
        <x:v>setor_emissor</x:v>
      </x:c>
      <x:c r="B75" s="23" t="str">
        <x:v>emitter_sector</x:v>
      </x:c>
      <x:c r="C75" s="23" t="str">
        <x:v>emitter_sector</x:v>
      </x:c>
      <x:c r="D75" s="23" t="str">
        <x:v>Nao</x:v>
      </x:c>
      <x:c r="E75" s="23" t="str"/>
      <x:c r="F75" s="23" t="str">
        <x:v>Ausente</x:v>
      </x:c>
    </x:row>
    <x:row r="76">
      <x:c r="A76" s="23" t="str">
        <x:v>setor_emissor</x:v>
      </x:c>
      <x:c r="B76" s="23" t="str">
        <x:v>Emitter Sector</x:v>
      </x:c>
      <x:c r="C76" s="23" t="str">
        <x:v>emitter sector</x:v>
      </x:c>
      <x:c r="D76" s="23" t="str">
        <x:v>Nao</x:v>
      </x:c>
      <x:c r="E76" s="23" t="str"/>
      <x:c r="F76" s="23" t="str">
        <x:v>Ausente</x:v>
      </x:c>
    </x:row>
    <x:row r="77">
      <x:c r="A77" s="23" t="str">
        <x:v>setor_emissor</x:v>
      </x:c>
      <x:c r="B77" s="23" t="str">
        <x:v>EmitterSector</x:v>
      </x:c>
      <x:c r="C77" s="23" t="str">
        <x:v>emittersector</x:v>
      </x:c>
      <x:c r="D77" s="23" t="str">
        <x:v>Nao</x:v>
      </x:c>
      <x:c r="E77" s="23" t="str"/>
      <x:c r="F77" s="23" t="str">
        <x:v>Ausente</x:v>
      </x:c>
    </x:row>
    <x:row r="78">
      <x:c r="A78" s="23" t="str">
        <x:v>setor_emissor</x:v>
      </x:c>
      <x:c r="B78" s="23" t="str">
        <x:v>EmmiterSector</x:v>
      </x:c>
      <x:c r="C78" s="23" t="str">
        <x:v>emmitersector</x:v>
      </x:c>
      <x:c r="D78" s="23" t="str">
        <x:v>Nao</x:v>
      </x:c>
      <x:c r="E78" s="23" t="str"/>
      <x:c r="F78" s="23" t="str">
        <x:v>Ausente</x:v>
      </x:c>
    </x:row>
    <x:row r="79">
      <x:c r="A79" s="23" t="str">
        <x:v>setor_emissor</x:v>
      </x:c>
      <x:c r="B79" s="23" t="str">
        <x:v>Sector Emisor</x:v>
      </x:c>
      <x:c r="C79" s="23" t="str">
        <x:v>sector emisor</x:v>
      </x:c>
      <x:c r="D79" s="23" t="str">
        <x:v>Nao</x:v>
      </x:c>
      <x:c r="E79" s="23" t="str"/>
      <x:c r="F79" s="23" t="str">
        <x:v>Ausente</x:v>
      </x:c>
    </x:row>
    <x:row r="80">
      <x:c r="A80" s="23" t="str">
        <x:v>setor_executor</x:v>
      </x:c>
      <x:c r="B80" s="23" t="str">
        <x:v>Executor</x:v>
      </x:c>
      <x:c r="C80" s="23" t="str">
        <x:v>executor</x:v>
      </x:c>
      <x:c r="D80" s="23" t="str">
        <x:v>Sim</x:v>
      </x:c>
      <x:c r="E80" s="23" t="str">
        <x:v>setor_executor</x:v>
      </x:c>
      <x:c r="F80" s="23" t="str">
        <x:v>Coberto</x:v>
      </x:c>
    </x:row>
    <x:row r="81">
      <x:c r="A81" s="23" t="str">
        <x:v>setor_executor</x:v>
      </x:c>
      <x:c r="B81" s="23" t="str">
        <x:v>Setor Executor</x:v>
      </x:c>
      <x:c r="C81" s="23" t="str">
        <x:v>setor executor</x:v>
      </x:c>
      <x:c r="D81" s="23" t="str">
        <x:v>Sim</x:v>
      </x:c>
      <x:c r="E81" s="23" t="str">
        <x:v>setor_executor</x:v>
      </x:c>
      <x:c r="F81" s="23" t="str">
        <x:v>Coberto</x:v>
      </x:c>
    </x:row>
    <x:row r="82">
      <x:c r="A82" s="23" t="str">
        <x:v>setor_executor</x:v>
      </x:c>
      <x:c r="B82" s="23" t="str">
        <x:v>executor_sector</x:v>
      </x:c>
      <x:c r="C82" s="23" t="str">
        <x:v>executor_sector</x:v>
      </x:c>
      <x:c r="D82" s="23" t="str">
        <x:v>Nao</x:v>
      </x:c>
      <x:c r="E82" s="23" t="str"/>
      <x:c r="F82" s="23" t="str">
        <x:v>Ausente</x:v>
      </x:c>
    </x:row>
    <x:row r="83">
      <x:c r="A83" s="23" t="str">
        <x:v>setor_executor</x:v>
      </x:c>
      <x:c r="B83" s="23" t="str">
        <x:v>Executor Sector</x:v>
      </x:c>
      <x:c r="C83" s="23" t="str">
        <x:v>executor sector</x:v>
      </x:c>
      <x:c r="D83" s="23" t="str">
        <x:v>Nao</x:v>
      </x:c>
      <x:c r="E83" s="23" t="str"/>
      <x:c r="F83" s="23" t="str">
        <x:v>Ausente</x:v>
      </x:c>
    </x:row>
    <x:row r="84">
      <x:c r="A84" s="23" t="str">
        <x:v>setor_executor</x:v>
      </x:c>
      <x:c r="B84" s="23" t="str">
        <x:v>ExecutorSector</x:v>
      </x:c>
      <x:c r="C84" s="23" t="str">
        <x:v>executorsector</x:v>
      </x:c>
      <x:c r="D84" s="23" t="str">
        <x:v>Nao</x:v>
      </x:c>
      <x:c r="E84" s="23" t="str"/>
      <x:c r="F84" s="23" t="str">
        <x:v>Ausente</x:v>
      </x:c>
    </x:row>
    <x:row r="85">
      <x:c r="A85" s="23" t="str">
        <x:v>setor_executor</x:v>
      </x:c>
      <x:c r="B85" s="23" t="str">
        <x:v>Sector Ejecutor</x:v>
      </x:c>
      <x:c r="C85" s="23" t="str">
        <x:v>sector ejecutor</x:v>
      </x:c>
      <x:c r="D85" s="23" t="str">
        <x:v>Nao</x:v>
      </x:c>
      <x:c r="E85" s="23" t="str"/>
      <x:c r="F85" s="23" t="str">
        <x:v>Ausente</x:v>
      </x:c>
    </x:row>
    <x:row r="86">
      <x:c r="A86" s="23" t="str">
        <x:v>solicitante</x:v>
      </x:c>
      <x:c r="B86" s="23" t="str">
        <x:v>Solicitante</x:v>
      </x:c>
      <x:c r="C86" s="23" t="str">
        <x:v>solicitante</x:v>
      </x:c>
      <x:c r="D86" s="23" t="str">
        <x:v>Sim</x:v>
      </x:c>
      <x:c r="E86" s="23" t="str">
        <x:v>solicitante</x:v>
      </x:c>
      <x:c r="F86" s="23" t="str">
        <x:v>Coberto</x:v>
      </x:c>
    </x:row>
    <x:row r="87">
      <x:c r="A87" s="23" t="str">
        <x:v>servico_origem</x:v>
      </x:c>
      <x:c r="B87" s="23" t="str">
        <x:v>Serv. Origem</x:v>
      </x:c>
      <x:c r="C87" s="23" t="str">
        <x:v>serv. origem</x:v>
      </x:c>
      <x:c r="D87" s="23" t="str">
        <x:v>Sim</x:v>
      </x:c>
      <x:c r="E87" s="23" t="str">
        <x:v>servico_origem</x:v>
      </x:c>
      <x:c r="F87" s="23" t="str">
        <x:v>Coberto</x:v>
      </x:c>
    </x:row>
    <x:row r="88">
      <x:c r="A88" s="23" t="str">
        <x:v>servico_origem</x:v>
      </x:c>
      <x:c r="B88" s="23" t="str">
        <x:v>Serviço de Origem</x:v>
      </x:c>
      <x:c r="C88" s="23" t="str">
        <x:v>servico de origem</x:v>
      </x:c>
      <x:c r="D88" s="23" t="str">
        <x:v>Sim</x:v>
      </x:c>
      <x:c r="E88" s="23" t="str">
        <x:v>servico_origem</x:v>
      </x:c>
      <x:c r="F88" s="23" t="str">
        <x:v>Coberto</x:v>
      </x:c>
    </x:row>
    <x:row r="89">
      <x:c r="A89" s="23" t="str">
        <x:v>grau_prioridade_emissao</x:v>
      </x:c>
      <x:c r="B89" s="23" t="str">
        <x:v>Prior. Emissão</x:v>
      </x:c>
      <x:c r="C89" s="23" t="str">
        <x:v>prior. emissao</x:v>
      </x:c>
      <x:c r="D89" s="23" t="str">
        <x:v>Sim</x:v>
      </x:c>
      <x:c r="E89" s="23" t="str">
        <x:v>grau_prioridade_emissao</x:v>
      </x:c>
      <x:c r="F89" s="23" t="str">
        <x:v>Coberto</x:v>
      </x:c>
    </x:row>
    <x:row r="90">
      <x:c r="A90" s="23" t="str">
        <x:v>grau_prioridade_emissao</x:v>
      </x:c>
      <x:c r="B90" s="23" t="str">
        <x:v>Prioridade Emissão</x:v>
      </x:c>
      <x:c r="C90" s="23" t="str">
        <x:v>prioridade emissao</x:v>
      </x:c>
      <x:c r="D90" s="23" t="str">
        <x:v>Sim</x:v>
      </x:c>
      <x:c r="E90" s="23" t="str">
        <x:v>grau_prioridade_emissao</x:v>
      </x:c>
      <x:c r="F90" s="23" t="str">
        <x:v>Coberto</x:v>
      </x:c>
    </x:row>
    <x:row r="91">
      <x:c r="A91" s="23" t="str">
        <x:v>grau_prioridade_emissao</x:v>
      </x:c>
      <x:c r="B91" s="23" t="str">
        <x:v>Grau Prioridade Emissão</x:v>
      </x:c>
      <x:c r="C91" s="23" t="str">
        <x:v>grau prioridade emissao</x:v>
      </x:c>
      <x:c r="D91" s="23" t="str">
        <x:v>Nao</x:v>
      </x:c>
      <x:c r="E91" s="23" t="str"/>
      <x:c r="F91" s="23" t="str">
        <x:v>Ausente</x:v>
      </x:c>
    </x:row>
    <x:row r="92">
      <x:c r="A92" s="23" t="str">
        <x:v>grau_prioridade_emissao</x:v>
      </x:c>
      <x:c r="B92" s="23" t="str">
        <x:v>Grau de Prioridade Emissão</x:v>
      </x:c>
      <x:c r="C92" s="23" t="str">
        <x:v>grau de prioridade emissao</x:v>
      </x:c>
      <x:c r="D92" s="23" t="str">
        <x:v>Sim</x:v>
      </x:c>
      <x:c r="E92" s="23" t="str">
        <x:v>grau_prioridade_emissao</x:v>
      </x:c>
      <x:c r="F92" s="23" t="str">
        <x:v>Coberto</x:v>
      </x:c>
    </x:row>
    <x:row r="93">
      <x:c r="A93" s="23" t="str">
        <x:v>grau_prioridade_planejamento</x:v>
      </x:c>
      <x:c r="B93" s="23" t="str">
        <x:v>Prior. Planej.</x:v>
      </x:c>
      <x:c r="C93" s="23" t="str">
        <x:v>prior. planej.</x:v>
      </x:c>
      <x:c r="D93" s="23" t="str">
        <x:v>Sim</x:v>
      </x:c>
      <x:c r="E93" s="23" t="str">
        <x:v>grau_prioridade_planejamento</x:v>
      </x:c>
      <x:c r="F93" s="23" t="str">
        <x:v>Coberto</x:v>
      </x:c>
    </x:row>
    <x:row r="94">
      <x:c r="A94" s="23" t="str">
        <x:v>grau_prioridade_planejamento</x:v>
      </x:c>
      <x:c r="B94" s="23" t="str">
        <x:v>Prioridade Planejamento</x:v>
      </x:c>
      <x:c r="C94" s="23" t="str">
        <x:v>prioridade planejamento</x:v>
      </x:c>
      <x:c r="D94" s="23" t="str">
        <x:v>Sim</x:v>
      </x:c>
      <x:c r="E94" s="23" t="str">
        <x:v>grau_prioridade_planejamento</x:v>
      </x:c>
      <x:c r="F94" s="23" t="str">
        <x:v>Coberto</x:v>
      </x:c>
    </x:row>
    <x:row r="95">
      <x:c r="A95" s="23" t="str">
        <x:v>grau_prioridade_planejamento</x:v>
      </x:c>
      <x:c r="B95" s="23" t="str">
        <x:v>Grau Prioridade Planejamento</x:v>
      </x:c>
      <x:c r="C95" s="23" t="str">
        <x:v>grau prioridade planejamento</x:v>
      </x:c>
      <x:c r="D95" s="23" t="str">
        <x:v>Nao</x:v>
      </x:c>
      <x:c r="E95" s="23" t="str"/>
      <x:c r="F95" s="23" t="str">
        <x:v>Ausente</x:v>
      </x:c>
    </x:row>
    <x:row r="96">
      <x:c r="A96" s="23" t="str">
        <x:v>grau_prioridade_planejamento</x:v>
      </x:c>
      <x:c r="B96" s="23" t="str">
        <x:v>Grau de Prioridade Planejamento</x:v>
      </x:c>
      <x:c r="C96" s="23" t="str">
        <x:v>grau de prioridade planejamento</x:v>
      </x:c>
      <x:c r="D96" s="23" t="str">
        <x:v>Sim</x:v>
      </x:c>
      <x:c r="E96" s="23" t="str">
        <x:v>grau_prioridade_planejamento</x:v>
      </x:c>
      <x:c r="F96" s="23" t="str">
        <x:v>Coberto</x:v>
      </x:c>
    </x:row>
    <x:row r="97">
      <x:c r="A97" s="23" t="str">
        <x:v>execucao_simples</x:v>
      </x:c>
      <x:c r="B97" s="23" t="str">
        <x:v>Exec. Simples</x:v>
      </x:c>
      <x:c r="C97" s="23" t="str">
        <x:v>exec. simples</x:v>
      </x:c>
      <x:c r="D97" s="23" t="str">
        <x:v>Sim</x:v>
      </x:c>
      <x:c r="E97" s="23" t="str">
        <x:v>execucao_simples</x:v>
      </x:c>
      <x:c r="F97" s="23" t="str">
        <x:v>Coberto</x:v>
      </x:c>
    </x:row>
    <x:row r="98">
      <x:c r="A98" s="23" t="str">
        <x:v>execucao_simples</x:v>
      </x:c>
      <x:c r="B98" s="23" t="str">
        <x:v>Execução Simples</x:v>
      </x:c>
      <x:c r="C98" s="23" t="str">
        <x:v>execucao simples</x:v>
      </x:c>
      <x:c r="D98" s="23" t="str">
        <x:v>Sim</x:v>
      </x:c>
      <x:c r="E98" s="23" t="str">
        <x:v>execucao_simples</x:v>
      </x:c>
      <x:c r="F98" s="23" t="str">
        <x:v>Coberto</x:v>
      </x:c>
    </x:row>
    <x:row r="99">
      <x:c r="A99" s="23" t="str">
        <x:v>responsavel_programacao</x:v>
      </x:c>
      <x:c r="B99" s="23" t="str">
        <x:v>Resp. Prog.</x:v>
      </x:c>
      <x:c r="C99" s="23" t="str">
        <x:v>resp. prog.</x:v>
      </x:c>
      <x:c r="D99" s="23" t="str">
        <x:v>Sim</x:v>
      </x:c>
      <x:c r="E99" s="23" t="str">
        <x:v>responsavel_programacao</x:v>
      </x:c>
      <x:c r="F99" s="23" t="str">
        <x:v>Coberto</x:v>
      </x:c>
    </x:row>
    <x:row r="100">
      <x:c r="A100" s="23" t="str">
        <x:v>responsavel_programacao</x:v>
      </x:c>
      <x:c r="B100" s="23" t="str">
        <x:v>Responsável Programação</x:v>
      </x:c>
      <x:c r="C100" s="23" t="str">
        <x:v>responsavel programacao</x:v>
      </x:c>
      <x:c r="D100" s="23" t="str">
        <x:v>Sim</x:v>
      </x:c>
      <x:c r="E100" s="23" t="str">
        <x:v>responsavel_programacao</x:v>
      </x:c>
      <x:c r="F100" s="23" t="str">
        <x:v>Coberto</x:v>
      </x:c>
    </x:row>
    <x:row r="101">
      <x:c r="A101" s="23" t="str">
        <x:v>responsavel_programacao</x:v>
      </x:c>
      <x:c r="B101" s="23" t="str">
        <x:v>Responsável na Programação</x:v>
      </x:c>
      <x:c r="C101" s="23" t="str">
        <x:v>responsavel na programacao</x:v>
      </x:c>
      <x:c r="D101" s="23" t="str">
        <x:v>Sim</x:v>
      </x:c>
      <x:c r="E101" s="23" t="str">
        <x:v>responsavel_programacao</x:v>
      </x:c>
      <x:c r="F101" s="23" t="str">
        <x:v>Coberto</x:v>
      </x:c>
    </x:row>
    <x:row r="102">
      <x:c r="A102" s="23" t="str">
        <x:v>semana_programada</x:v>
      </x:c>
      <x:c r="B102" s="23" t="str">
        <x:v>Sem. Prog.</x:v>
      </x:c>
      <x:c r="C102" s="23" t="str">
        <x:v>sem. prog.</x:v>
      </x:c>
      <x:c r="D102" s="23" t="str">
        <x:v>Sim</x:v>
      </x:c>
      <x:c r="E102" s="23" t="str">
        <x:v>semana_programada</x:v>
      </x:c>
      <x:c r="F102" s="23" t="str">
        <x:v>Coberto</x:v>
      </x:c>
    </x:row>
    <x:row r="103">
      <x:c r="A103" s="23" t="str">
        <x:v>semana_programada</x:v>
      </x:c>
      <x:c r="B103" s="23" t="str">
        <x:v>Semana Programada</x:v>
      </x:c>
      <x:c r="C103" s="23" t="str">
        <x:v>semana programada</x:v>
      </x:c>
      <x:c r="D103" s="23" t="str">
        <x:v>Sim</x:v>
      </x:c>
      <x:c r="E103" s="23" t="str">
        <x:v>semana_programada</x:v>
      </x:c>
      <x:c r="F103" s="23" t="str">
        <x:v>Coberto</x:v>
      </x:c>
    </x:row>
    <x:row r="104">
      <x:c r="A104" s="23" t="str">
        <x:v>responsavel_execucao</x:v>
      </x:c>
      <x:c r="B104" s="23" t="str">
        <x:v>Resp. Exec.</x:v>
      </x:c>
      <x:c r="C104" s="23" t="str">
        <x:v>resp. exec.</x:v>
      </x:c>
      <x:c r="D104" s="23" t="str">
        <x:v>Sim</x:v>
      </x:c>
      <x:c r="E104" s="23" t="str">
        <x:v>responsavel_execucao</x:v>
      </x:c>
      <x:c r="F104" s="23" t="str">
        <x:v>Coberto</x:v>
      </x:c>
    </x:row>
    <x:row r="105">
      <x:c r="A105" s="23" t="str">
        <x:v>responsavel_execucao</x:v>
      </x:c>
      <x:c r="B105" s="23" t="str">
        <x:v>Responsável Execução</x:v>
      </x:c>
      <x:c r="C105" s="23" t="str">
        <x:v>responsavel execucao</x:v>
      </x:c>
      <x:c r="D105" s="23" t="str">
        <x:v>Sim</x:v>
      </x:c>
      <x:c r="E105" s="23" t="str">
        <x:v>responsavel_execucao</x:v>
      </x:c>
      <x:c r="F105" s="23" t="str">
        <x:v>Coberto</x:v>
      </x:c>
    </x:row>
    <x:row r="106">
      <x:c r="A106" s="23" t="str">
        <x:v>responsavel_execucao</x:v>
      </x:c>
      <x:c r="B106" s="23" t="str">
        <x:v>Responsável na Execução</x:v>
      </x:c>
      <x:c r="C106" s="23" t="str">
        <x:v>responsavel na execucao</x:v>
      </x:c>
      <x:c r="D106" s="23" t="str">
        <x:v>Sim</x:v>
      </x:c>
      <x:c r="E106" s="23" t="str">
        <x:v>responsavel_execucao</x:v>
      </x:c>
      <x:c r="F106" s="23" t="str">
        <x:v>Coberto</x:v>
      </x:c>
    </x:row>
    <x:row r="107">
      <x:c r="A107" s="23" t="str">
        <x:v>descricao_execucao</x:v>
      </x:c>
      <x:c r="B107" s="23" t="str">
        <x:v>Descrição da Execução</x:v>
      </x:c>
      <x:c r="C107" s="23" t="str">
        <x:v>descricao da execucao</x:v>
      </x:c>
      <x:c r="D107" s="23" t="str">
        <x:v>Sim</x:v>
      </x:c>
      <x:c r="E107" s="23" t="str">
        <x:v>descricao_execucao</x:v>
      </x:c>
      <x:c r="F107" s="23" t="str">
        <x:v>Coberto</x:v>
      </x:c>
    </x:row>
    <x:row r="108">
      <x:c r="A108" s="23" t="str">
        <x:v>descricao_execucao</x:v>
      </x:c>
      <x:c r="B108" s="23" t="str">
        <x:v>Descricao da Execucao</x:v>
      </x:c>
      <x:c r="C108" s="23" t="str">
        <x:v>descricao da execucao</x:v>
      </x:c>
      <x:c r="D108" s="23" t="str">
        <x:v>Sim</x:v>
      </x:c>
      <x:c r="E108" s="23" t="str">
        <x:v>descricao_execucao</x:v>
      </x:c>
      <x:c r="F108" s="23" t="str">
        <x:v>Coberto</x:v>
      </x:c>
    </x:row>
    <x:row r="109">
      <x:c r="A109" s="23" t="str">
        <x:v>descricao_execucao</x:v>
      </x:c>
      <x:c r="B109" s="23" t="str">
        <x:v>Descrição Execução</x:v>
      </x:c>
      <x:c r="C109" s="23" t="str">
        <x:v>descricao execucao</x:v>
      </x:c>
      <x:c r="D109" s="23" t="str">
        <x:v>Sim</x:v>
      </x:c>
      <x:c r="E109" s="23" t="str">
        <x:v>descricao_execucao</x:v>
      </x:c>
      <x:c r="F109" s="23" t="str">
        <x:v>Coberto</x:v>
      </x:c>
    </x:row>
    <x:row r="110">
      <x:c r="A110" s="23" t="str">
        <x:v>descricao_execucao</x:v>
      </x:c>
      <x:c r="B110" s="23" t="str">
        <x:v>execution_description</x:v>
      </x:c>
      <x:c r="C110" s="23" t="str">
        <x:v>execution_description</x:v>
      </x:c>
      <x:c r="D110" s="23" t="str">
        <x:v>Nao</x:v>
      </x:c>
      <x:c r="E110" s="23" t="str"/>
      <x:c r="F110" s="23" t="str">
        <x:v>Ausente</x:v>
      </x:c>
    </x:row>
    <x:row r="111">
      <x:c r="A111" s="23" t="str">
        <x:v>descricao_execucao</x:v>
      </x:c>
      <x:c r="B111" s="23" t="str">
        <x:v>Execution Description</x:v>
      </x:c>
      <x:c r="C111" s="23" t="str">
        <x:v>execution description</x:v>
      </x:c>
      <x:c r="D111" s="23" t="str">
        <x:v>Nao</x:v>
      </x:c>
      <x:c r="E111" s="23" t="str"/>
      <x:c r="F111" s="23" t="str">
        <x:v>Ausente</x:v>
      </x:c>
    </x:row>
    <x:row r="112">
      <x:c r="A112" s="23" t="str">
        <x:v>descricao_execucao</x:v>
      </x:c>
      <x:c r="B112" s="23" t="str">
        <x:v>Descripcion de la Ejecucion</x:v>
      </x:c>
      <x:c r="C112" s="23" t="str">
        <x:v>descripcion de la ejecucion</x:v>
      </x:c>
      <x:c r="D112" s="23" t="str">
        <x:v>Nao</x:v>
      </x:c>
      <x:c r="E112" s="23" t="str"/>
      <x:c r="F112" s="23" t="str">
        <x:v>Ausente</x:v>
      </x:c>
    </x:row>
    <x:row r="113">
      <x:c r="A113" s="23" t="str">
        <x:v>descricao_execucao</x:v>
      </x:c>
      <x:c r="B113" s="23" t="str">
        <x:v>Descripción de la Ejecución</x:v>
      </x:c>
      <x:c r="C113" s="23" t="str">
        <x:v>descripcion de la ejecucion</x:v>
      </x:c>
      <x:c r="D113" s="23" t="str">
        <x:v>Nao</x:v>
      </x:c>
      <x:c r="E113" s="23" t="str"/>
      <x:c r="F113" s="23" t="str">
        <x:v>Ausente</x:v>
      </x:c>
    </x:row>
    <x:row r="114">
      <x:c r="A114" s="23" t="str">
        <x:v>total_tempo_tex_executada</x:v>
      </x:c>
      <x:c r="B114" s="23" t="str">
        <x:v>Total Tempo TEX Executada</x:v>
      </x:c>
      <x:c r="C114" s="23" t="str">
        <x:v>total tempo tex executada</x:v>
      </x:c>
      <x:c r="D114" s="23" t="str">
        <x:v>Nao</x:v>
      </x:c>
      <x:c r="E114" s="23" t="str"/>
      <x:c r="F114" s="23" t="str">
        <x:v>Ausente</x:v>
      </x:c>
    </x:row>
    <x:row r="115">
      <x:c r="A115" s="23" t="str">
        <x:v>parciais</x:v>
      </x:c>
      <x:c r="B115" s="23" t="str">
        <x:v>Parciais</x:v>
      </x:c>
      <x:c r="C115" s="23" t="str">
        <x:v>parciais</x:v>
      </x:c>
      <x:c r="D115" s="23" t="str">
        <x:v>Sim</x:v>
      </x:c>
      <x:c r="E115" s="23" t="str">
        <x:v>parciais</x:v>
      </x:c>
      <x:c r="F115" s="23" t="str">
        <x:v>Coberto</x:v>
      </x:c>
    </x:row>
    <x:row r="116">
      <x:c r="A116" s="23" t="str">
        <x:v>situacao_da_parcial</x:v>
      </x:c>
      <x:c r="B116" s="23" t="str">
        <x:v>Situação da Parcial</x:v>
      </x:c>
      <x:c r="C116" s="23" t="str">
        <x:v>situacao da parcial</x:v>
      </x:c>
      <x:c r="D116" s="23" t="str">
        <x:v>Nao</x:v>
      </x:c>
      <x:c r="E116" s="23" t="str"/>
      <x:c r="F116" s="23" t="str">
        <x:v>Ausente</x:v>
      </x:c>
    </x:row>
    <x:row r="117">
      <x:c r="A117" s="23" t="str">
        <x:v>prazo_limite</x:v>
      </x:c>
      <x:c r="B117" s="23" t="str">
        <x:v>Prazo Limite</x:v>
      </x:c>
      <x:c r="C117" s="23" t="str">
        <x:v>prazo limite</x:v>
      </x:c>
      <x:c r="D117" s="23" t="str">
        <x:v>Nao</x:v>
      </x:c>
      <x:c r="E117" s="23" t="str"/>
      <x:c r="F117" s="23" t="str">
        <x:v>Ausente</x:v>
      </x:c>
    </x:row>
    <x:row r="118">
      <x:c r="A118" s="23" t="str">
        <x:v>status_execucao_prazo</x:v>
      </x:c>
      <x:c r="B118" s="23" t="str">
        <x:v>Situação do Prazo</x:v>
      </x:c>
      <x:c r="C118" s="23" t="str">
        <x:v>situacao do prazo</x:v>
      </x:c>
      <x:c r="D118" s="23" t="str">
        <x:v>Nao</x:v>
      </x:c>
      <x:c r="E118" s="23" t="str"/>
      <x:c r="F118" s="23" t="str">
        <x:v>Ausente</x:v>
      </x:c>
    </x:row>
    <x:row r="119">
      <x:c r="A119" s="23" t="str">
        <x:v>status_execucao_prazo</x:v>
      </x:c>
      <x:c r="B119" s="23" t="str">
        <x:v>Status Prazo</x:v>
      </x:c>
      <x:c r="C119" s="23" t="str">
        <x:v>status prazo</x:v>
      </x:c>
      <x:c r="D119" s="23" t="str">
        <x:v>Nao</x:v>
      </x:c>
      <x:c r="E119" s="23" t="str"/>
      <x:c r="F119" s="23" t="str">
        <x:v>Ausente</x:v>
      </x:c>
    </x:row>
    <x:row r="120">
      <x:c r="A120" s="23" t="str">
        <x:v>tempo_disponivel</x:v>
      </x:c>
      <x:c r="B120" s="23" t="str">
        <x:v>Tempo Disp.</x:v>
      </x:c>
      <x:c r="C120" s="23" t="str">
        <x:v>tempo disp.</x:v>
      </x:c>
      <x:c r="D120" s="23" t="str">
        <x:v>Nao</x:v>
      </x:c>
      <x:c r="E120" s="23" t="str"/>
      <x:c r="F120" s="23" t="str">
        <x:v>Ausente</x:v>
      </x:c>
    </x:row>
    <x:row r="121">
      <x:c r="A121" s="23" t="str">
        <x:v>tempo_disponivel</x:v>
      </x:c>
      <x:c r="B121" s="23" t="str">
        <x:v>Tempo Disponível</x:v>
      </x:c>
      <x:c r="C121" s="23" t="str">
        <x:v>tempo disponivel</x:v>
      </x:c>
      <x:c r="D121" s="23" t="str">
        <x:v>Nao</x:v>
      </x:c>
      <x:c r="E121" s="23" t="str"/>
      <x:c r="F121" s="23" t="str">
        <x:v>Ausente</x:v>
      </x:c>
    </x:row>
    <x:row r="122">
      <x:c r="A122" s="23" t="str">
        <x:v>data_limite</x:v>
      </x:c>
      <x:c r="B122" s="23" t="str">
        <x:v>Data Limite</x:v>
      </x:c>
      <x:c r="C122" s="23" t="str">
        <x:v>data limite</x:v>
      </x:c>
      <x:c r="D122" s="23" t="str">
        <x:v>Nao</x:v>
      </x:c>
      <x:c r="E122" s="23" t="str"/>
      <x:c r="F122" s="23" t="str">
        <x:v>Ausente</x:v>
      </x:c>
    </x:row>
    <x:row r="123">
      <x:c r="A123" s="23" t="str">
        <x:v>tempo_excedido</x:v>
      </x:c>
      <x:c r="B123" s="23" t="str">
        <x:v>Tempo Excedido</x:v>
      </x:c>
      <x:c r="C123" s="23" t="str">
        <x:v>tempo excedido</x:v>
      </x:c>
      <x:c r="D123" s="23" t="str">
        <x:v>Nao</x:v>
      </x:c>
      <x:c r="E123" s="23" t="str"/>
      <x:c r="F123" s="23" t="str">
        <x:v>Ausente</x:v>
      </x:c>
    </x:row>
    <x:row r="124">
      <x:c r="A124" s="23" t="str">
        <x:v>desde</x:v>
      </x:c>
      <x:c r="B124" s="23" t="str">
        <x:v>Desde</x:v>
      </x:c>
      <x:c r="C124" s="23" t="str">
        <x:v>desde</x:v>
      </x:c>
      <x:c r="D124" s="23" t="str">
        <x:v>Sim</x:v>
      </x:c>
      <x:c r="E124" s="23" t="str">
        <x:v>desde</x:v>
      </x:c>
      <x:c r="F124" s="23" t="str">
        <x:v>Coberto</x:v>
      </x:c>
    </x:row>
    <x:row r="125">
      <x:c r="A125" s="23" t="str">
        <x:v>tempo_total</x:v>
      </x:c>
      <x:c r="B125" s="23" t="str">
        <x:v>Tempo Total</x:v>
      </x:c>
      <x:c r="C125" s="23" t="str">
        <x:v>tempo total</x:v>
      </x:c>
      <x:c r="D125" s="23" t="str">
        <x:v>Nao</x:v>
      </x:c>
      <x:c r="E125" s="23" t="str"/>
      <x:c r="F125" s="23" t="str">
        <x:v>Ausente</x:v>
      </x:c>
    </x:row>
    <x:row r="126">
      <x:c r="A126" s="23" t="str">
        <x:v>desde_1</x:v>
      </x:c>
      <x:c r="B126" s="23" t="str">
        <x:v>Desde (1)</x:v>
      </x:c>
      <x:c r="C126" s="23" t="str">
        <x:v>desde (1)</x:v>
      </x:c>
      <x:c r="D126" s="23" t="str">
        <x:v>Nao</x:v>
      </x:c>
      <x:c r="E126" s="23" t="str"/>
      <x:c r="F126" s="23" t="str">
        <x:v>Ausente</x:v>
      </x:c>
    </x:row>
    <x:row r="127">
      <x:c r="A127" s="23" t="str">
        <x:v>total_tempo_tpe_planejado</x:v>
      </x:c>
      <x:c r="B127" s="23" t="str">
        <x:v>Tempo TPE Plan.</x:v>
      </x:c>
      <x:c r="C127" s="23" t="str">
        <x:v>tempo tpe plan.</x:v>
      </x:c>
      <x:c r="D127" s="23" t="str">
        <x:v>Nao</x:v>
      </x:c>
      <x:c r="E127" s="23" t="str"/>
      <x:c r="F127" s="23" t="str">
        <x:v>Ausente</x:v>
      </x:c>
    </x:row>
    <x:row r="128">
      <x:c r="A128" s="23" t="str">
        <x:v>total_tempo_tpe_planejado</x:v>
      </x:c>
      <x:c r="B128" s="23" t="str">
        <x:v>Total Tempo TPE Planejado</x:v>
      </x:c>
      <x:c r="C128" s="23" t="str">
        <x:v>total tempo tpe planejado</x:v>
      </x:c>
      <x:c r="D128" s="23" t="str">
        <x:v>Nao</x:v>
      </x:c>
      <x:c r="E128" s="23" t="str"/>
      <x:c r="F128" s="23" t="str">
        <x:v>Ausente</x:v>
      </x:c>
    </x:row>
    <x:row r="129">
      <x:c r="A129" s="23" t="str">
        <x:v>total_tempo_tex_planejado</x:v>
      </x:c>
      <x:c r="B129" s="23" t="str">
        <x:v>Tempo TEX Plan.</x:v>
      </x:c>
      <x:c r="C129" s="23" t="str">
        <x:v>tempo tex plan.</x:v>
      </x:c>
      <x:c r="D129" s="23" t="str">
        <x:v>Nao</x:v>
      </x:c>
      <x:c r="E129" s="23" t="str"/>
      <x:c r="F129" s="23" t="str">
        <x:v>Ausente</x:v>
      </x:c>
    </x:row>
    <x:row r="130">
      <x:c r="A130" s="23" t="str">
        <x:v>total_tempo_tex_planejado</x:v>
      </x:c>
      <x:c r="B130" s="23" t="str">
        <x:v>Total Tempo TEX Planejado</x:v>
      </x:c>
      <x:c r="C130" s="23" t="str">
        <x:v>total tempo tex planejado</x:v>
      </x:c>
      <x:c r="D130" s="23" t="str">
        <x:v>Nao</x:v>
      </x:c>
      <x:c r="E130" s="23" t="str"/>
      <x:c r="F130" s="23" t="str">
        <x:v>Ausente</x:v>
      </x:c>
    </x:row>
    <x:row r="131">
      <x:c r="A131" s="23" t="str">
        <x:v>total_tempo_tpo_planejado</x:v>
      </x:c>
      <x:c r="B131" s="23" t="str">
        <x:v>Tempo TPO Plan.</x:v>
      </x:c>
      <x:c r="C131" s="23" t="str">
        <x:v>tempo tpo plan.</x:v>
      </x:c>
      <x:c r="D131" s="23" t="str">
        <x:v>Nao</x:v>
      </x:c>
      <x:c r="E131" s="23" t="str"/>
      <x:c r="F131" s="23" t="str">
        <x:v>Ausente</x:v>
      </x:c>
    </x:row>
    <x:row r="132">
      <x:c r="A132" s="23" t="str">
        <x:v>total_tempo_tpo_planejado</x:v>
      </x:c>
      <x:c r="B132" s="23" t="str">
        <x:v>Total Tempo TPO Planejado</x:v>
      </x:c>
      <x:c r="C132" s="23" t="str">
        <x:v>total tempo tpo planejado</x:v>
      </x:c>
      <x:c r="D132" s="23" t="str">
        <x:v>Nao</x:v>
      </x:c>
      <x:c r="E132" s="23" t="str"/>
      <x:c r="F132" s="23" t="str">
        <x:v>Ausente</x:v>
      </x:c>
    </x:row>
    <x:row r="133">
      <x:c r="A133" s="23" t="str">
        <x:v>total_horas_programadas</x:v>
      </x:c>
      <x:c r="B133" s="23" t="str">
        <x:v>Horas Prog.</x:v>
      </x:c>
      <x:c r="C133" s="23" t="str">
        <x:v>horas prog.</x:v>
      </x:c>
      <x:c r="D133" s="23" t="str">
        <x:v>Nao</x:v>
      </x:c>
      <x:c r="E133" s="23" t="str"/>
      <x:c r="F133" s="23" t="str">
        <x:v>Ausente</x:v>
      </x:c>
    </x:row>
    <x:row r="134">
      <x:c r="A134" s="23" t="str">
        <x:v>total_horas_programadas</x:v>
      </x:c>
      <x:c r="B134" s="23" t="str">
        <x:v>Total Horas Programadas</x:v>
      </x:c>
      <x:c r="C134" s="23" t="str">
        <x:v>total horas programadas</x:v>
      </x:c>
      <x:c r="D134" s="23" t="str">
        <x:v>Nao</x:v>
      </x:c>
      <x:c r="E134" s="23" t="str"/>
      <x:c r="F134" s="23" t="str">
        <x:v>Ausente</x:v>
      </x:c>
    </x:row>
    <x:row r="135">
      <x:c r="A135" s="23" t="str">
        <x:v>total_horas_programadas</x:v>
      </x:c>
      <x:c r="B135" s="23" t="str">
        <x:v>Total de Horas Programadas</x:v>
      </x:c>
      <x:c r="C135" s="23" t="str">
        <x:v>total de horas programadas</x:v>
      </x:c>
      <x:c r="D135" s="23" t="str">
        <x:v>Nao</x:v>
      </x:c>
      <x:c r="E135" s="23" t="str"/>
      <x:c r="F135" s="23" t="str">
        <x:v>Ausente</x:v>
      </x:c>
    </x:row>
    <x:row r="136">
      <x:c r="A136" s="23" t="str">
        <x:v>total_tempo_tpe_executada</x:v>
      </x:c>
      <x:c r="B136" s="23" t="str">
        <x:v>Total Tempo TPE Executada</x:v>
      </x:c>
      <x:c r="C136" s="23" t="str">
        <x:v>total tempo tpe executada</x:v>
      </x:c>
      <x:c r="D136" s="23" t="str">
        <x:v>Nao</x:v>
      </x:c>
      <x:c r="E136" s="23" t="str"/>
      <x:c r="F136" s="23" t="str">
        <x:v>Ausente</x:v>
      </x:c>
    </x:row>
    <x:row r="137">
      <x:c r="A137" s="23" t="str">
        <x:v>semana_executada</x:v>
      </x:c>
      <x:c r="B137" s="23" t="str">
        <x:v>Sem. Exec.</x:v>
      </x:c>
      <x:c r="C137" s="23" t="str">
        <x:v>sem. exec.</x:v>
      </x:c>
      <x:c r="D137" s="23" t="str">
        <x:v>Sim</x:v>
      </x:c>
      <x:c r="E137" s="23" t="str">
        <x:v>semana_executada</x:v>
      </x:c>
      <x:c r="F137" s="23" t="str">
        <x:v>Coberto</x:v>
      </x:c>
    </x:row>
    <x:row r="138">
      <x:c r="A138" s="23" t="str">
        <x:v>semana_executada</x:v>
      </x:c>
      <x:c r="B138" s="23" t="str">
        <x:v>Semana Executada</x:v>
      </x:c>
      <x:c r="C138" s="23" t="str">
        <x:v>semana executada</x:v>
      </x:c>
      <x:c r="D138" s="23" t="str">
        <x:v>Sim</x:v>
      </x:c>
      <x:c r="E138" s="23" t="str">
        <x:v>semana_executada</x:v>
      </x:c>
      <x:c r="F138" s="23" t="str">
        <x:v>Coberto</x:v>
      </x:c>
    </x:row>
    <x:row r="139">
      <x:c r="A139" s="23" t="str">
        <x:v>num_reprogramacoes</x:v>
      </x:c>
      <x:c r="B139" s="23" t="str">
        <x:v>Nº Reprog.</x:v>
      </x:c>
      <x:c r="C139" s="23" t="str">
        <x:v>nº reprog.</x:v>
      </x:c>
      <x:c r="D139" s="23" t="str">
        <x:v>Nao</x:v>
      </x:c>
      <x:c r="E139" s="23" t="str"/>
      <x:c r="F139" s="23" t="str">
        <x:v>Ausente</x:v>
      </x:c>
    </x:row>
    <x:row r="140">
      <x:c r="A140" s="23" t="str">
        <x:v>num_reprogramacoes</x:v>
      </x:c>
      <x:c r="B140" s="23" t="str">
        <x:v>Número de Reprogramações</x:v>
      </x:c>
      <x:c r="C140" s="23" t="str">
        <x:v>numero de reprogramacoes</x:v>
      </x:c>
      <x:c r="D140" s="23" t="str">
        <x:v>Sim</x:v>
      </x:c>
      <x:c r="E140" s="23" t="str">
        <x:v>num_reprogramacoes</x:v>
      </x:c>
      <x:c r="F140" s="23" t="str">
        <x:v>Coberto</x:v>
      </x:c>
    </x:row>
    <x:row r="141">
      <x:c r="A141" s="23" t="str">
        <x:v>num_reprogramacoes</x:v>
      </x:c>
      <x:c r="B141" s="23" t="str">
        <x:v>N° de Reprogramações</x:v>
      </x:c>
      <x:c r="C141" s="23" t="str">
        <x:v>n° de reprogramacoes</x:v>
      </x:c>
      <x:c r="D141" s="23" t="str">
        <x:v>Nao</x:v>
      </x:c>
      <x:c r="E141" s="23" t="str"/>
      <x:c r="F141" s="23" t="str">
        <x:v>Ausente</x:v>
      </x:c>
    </x:row>
    <x:row r="142">
      <x:c r="A142" s="23" t="str">
        <x:v>num_reprogramacoes</x:v>
      </x:c>
      <x:c r="B142" s="23" t="str">
        <x:v>Reprogramações</x:v>
      </x:c>
      <x:c r="C142" s="23" t="str">
        <x:v>reprogramacoes</x:v>
      </x:c>
      <x:c r="D142" s="23" t="str">
        <x:v>Sim</x:v>
      </x:c>
      <x:c r="E142" s="23" t="str">
        <x:v>num_reprogramacoes</x:v>
      </x:c>
      <x:c r="F142" s="23" t="str">
        <x:v>Coberto</x:v>
      </x:c>
    </x:row>
    <x:row r="143">
      <x:c r="A143" s="23" t="str">
        <x:v>execucao_parcial</x:v>
      </x:c>
      <x:c r="B143" s="23" t="str">
        <x:v>Exec. Parcial</x:v>
      </x:c>
      <x:c r="C143" s="23" t="str">
        <x:v>exec. parcial</x:v>
      </x:c>
      <x:c r="D143" s="23" t="str">
        <x:v>Nao</x:v>
      </x:c>
      <x:c r="E143" s="23" t="str"/>
      <x:c r="F143" s="23" t="str">
        <x:v>Ausente</x:v>
      </x:c>
    </x:row>
    <x:row r="144">
      <x:c r="A144" s="23" t="str">
        <x:v>execucao_parcial</x:v>
      </x:c>
      <x:c r="B144" s="23" t="str">
        <x:v>Execução Parcial</x:v>
      </x:c>
      <x:c r="C144" s="23" t="str">
        <x:v>execucao parcial</x:v>
      </x:c>
      <x:c r="D144" s="23" t="str">
        <x:v>Nao</x:v>
      </x:c>
      <x:c r="E144" s="23" t="str"/>
      <x:c r="F144" s="23" t="str">
        <x:v>Ausente</x:v>
      </x:c>
    </x:row>
    <x:row r="145">
      <x:c r="A145" s="23" t="str">
        <x:v>anomalia</x:v>
      </x:c>
      <x:c r="B145" s="23" t="str">
        <x:v>Anomalia</x:v>
      </x:c>
      <x:c r="C145" s="23" t="str">
        <x:v>anomalia</x:v>
      </x:c>
      <x:c r="D145" s="23" t="str">
        <x:v>Sim</x:v>
      </x:c>
      <x:c r="E145" s="23" t="str">
        <x:v>anomalia</x:v>
      </x:c>
      <x:c r="F145" s="23" t="str">
        <x:v>Coberto</x:v>
      </x:c>
    </x:row>
    <x:row r="146">
      <x:c r="A146" s="23" t="str">
        <x:v>sistema_origem</x:v>
      </x:c>
      <x:c r="B146" s="23" t="str">
        <x:v>Sis. Origem</x:v>
      </x:c>
      <x:c r="C146" s="23" t="str">
        <x:v>sis. origem</x:v>
      </x:c>
      <x:c r="D146" s="23" t="str">
        <x:v>Sim</x:v>
      </x:c>
      <x:c r="E146" s="23" t="str">
        <x:v>sistema_origem</x:v>
      </x:c>
      <x:c r="F146" s="23" t="str">
        <x:v>Coberto</x:v>
      </x:c>
    </x:row>
    <x:row r="147">
      <x:c r="A147" s="23" t="str">
        <x:v>sistema_origem</x:v>
      </x:c>
      <x:c r="B147" s="23" t="str">
        <x:v>Sistema de Origem</x:v>
      </x:c>
      <x:c r="C147" s="23" t="str">
        <x:v>sistema de origem</x:v>
      </x:c>
      <x:c r="D147" s="23" t="str">
        <x:v>Sim</x:v>
      </x:c>
      <x:c r="E147" s="23" t="str">
        <x:v>sistema_origem</x:v>
      </x:c>
      <x:c r="F147" s="23" t="str">
        <x:v>Coberto</x:v>
      </x:c>
    </x:row>
    <x:row r="148">
      <x:c r="A148" s="23" t="str">
        <x:v>registros_espera</x:v>
      </x:c>
      <x:c r="B148" s="23" t="str">
        <x:v>Registros de Espera</x:v>
      </x:c>
      <x:c r="C148" s="23" t="str">
        <x:v>registros de espera</x:v>
      </x:c>
      <x:c r="D148" s="23" t="str">
        <x:v>Nao</x:v>
      </x:c>
      <x:c r="E148" s="23" t="str"/>
      <x:c r="F148" s="23" t="str">
        <x:v>Ausente</x:v>
      </x:c>
    </x:row>
    <x:row r="149">
      <x:c r="A149" s="23" t="str">
        <x:v>num_reprobaciones</x:v>
      </x:c>
      <x:c r="B149" s="23" t="str">
        <x:v>N° de Reprobaciones</x:v>
      </x:c>
      <x:c r="C149" s="23" t="str">
        <x:v>n° de reprobaciones</x:v>
      </x:c>
      <x:c r="D149" s="23" t="str">
        <x:v>Nao</x:v>
      </x:c>
      <x:c r="E149" s="23" t="str"/>
      <x:c r="F149" s="23" t="str">
        <x:v>Ausente</x:v>
      </x:c>
    </x:row>
    <x:row r="150">
      <x:c r="A150" s="23" t="str">
        <x:v>num_reprobaciones</x:v>
      </x:c>
      <x:c r="B150" s="23" t="str">
        <x:v>Nº de Reprobaciones</x:v>
      </x:c>
      <x:c r="C150" s="23" t="str">
        <x:v>nº de reprobaciones</x:v>
      </x:c>
      <x:c r="D150" s="23" t="str">
        <x:v>Nao</x:v>
      </x:c>
      <x:c r="E150" s="23" t="str"/>
      <x:c r="F150" s="23" t="str">
        <x:v>Ausente</x:v>
      </x:c>
    </x:row>
    <x:row r="151">
      <x:c r="A151" s="23" t="str">
        <x:v>situacao_espera</x:v>
      </x:c>
      <x:c r="B151" s="23" t="str">
        <x:v>Situação de Espera</x:v>
      </x:c>
      <x:c r="C151" s="23" t="str">
        <x:v>situacao de espera</x:v>
      </x:c>
      <x:c r="D151" s="23" t="str">
        <x:v>Nao</x:v>
      </x:c>
      <x:c r="E151" s="23" t="str"/>
      <x:c r="F151" s="23" t="str">
        <x:v>Ausente</x:v>
      </x:c>
    </x:row>
    <x:row r="152">
      <x:c r="A152" s="23" t="str">
        <x:v>numero_desvios</x:v>
      </x:c>
      <x:c r="B152" s="23" t="str">
        <x:v>Número de Desvios</x:v>
      </x:c>
      <x:c r="C152" s="23" t="str">
        <x:v>numero de desvios</x:v>
      </x:c>
      <x:c r="D152" s="23" t="str">
        <x:v>Nao</x:v>
      </x:c>
      <x:c r="E152" s="23" t="str"/>
      <x:c r="F152" s="23" t="str">
        <x:v>Ausente</x:v>
      </x:c>
    </x:row>
    <x:row r="153">
      <x:c r="A153" s="23" t="str">
        <x:v>numero_desvios</x:v>
      </x:c>
      <x:c r="B153" s="23" t="str">
        <x:v>Nº de Desvios</x:v>
      </x:c>
      <x:c r="C153" s="23" t="str">
        <x:v>nº de desvios</x:v>
      </x:c>
      <x:c r="D153" s="23" t="str">
        <x:v>Nao</x:v>
      </x:c>
      <x:c r="E153" s="23" t="str"/>
      <x:c r="F153" s="23" t="str">
        <x:v>Ausente</x:v>
      </x:c>
    </x:row>
    <x:row r="154">
      <x:c r="A154" s="23" t="str">
        <x:v>numero_desvios</x:v>
      </x:c>
      <x:c r="B154" s="23" t="str">
        <x:v>Desvio</x:v>
      </x:c>
      <x:c r="C154" s="23" t="str">
        <x:v>desvio</x:v>
      </x:c>
      <x:c r="D154" s="23" t="str">
        <x:v>Nao</x:v>
      </x:c>
      <x:c r="E154" s="23" t="str"/>
      <x:c r="F154" s="23" t="str">
        <x:v>Ausente</x:v>
      </x:c>
    </x:row>
    <x:row r="155">
      <x:c r="A155" s="23" t="str">
        <x:v>ate</x:v>
      </x:c>
      <x:c r="B155" s="23" t="str">
        <x:v>Até</x:v>
      </x:c>
      <x:c r="C155" s="23" t="str">
        <x:v>ate</x:v>
      </x:c>
      <x:c r="D155" s="23" t="str">
        <x:v>Sim</x:v>
      </x:c>
      <x:c r="E155" s="23" t="str">
        <x:v>ate</x:v>
      </x:c>
      <x:c r="F155" s="23" t="str">
        <x:v>Coberto</x:v>
      </x:c>
    </x:row>
    <x:row r="156">
      <x:c r="A156" s="23" t="str">
        <x:v>justificativa</x:v>
      </x:c>
      <x:c r="B156" s="23" t="str">
        <x:v>Justificativa</x:v>
      </x:c>
      <x:c r="C156" s="23" t="str">
        <x:v>justificativa</x:v>
      </x:c>
      <x:c r="D156" s="23" t="str">
        <x:v>Sim</x:v>
      </x:c>
      <x:c r="E156" s="23" t="str">
        <x:v>justificativa</x:v>
      </x:c>
      <x:c r="F156" s="23" t="str">
        <x:v>Coberto</x:v>
      </x:c>
    </x:row>
    <x:row r="157">
      <x:c r="A157" s="23" t="str">
        <x:v>justificativa</x:v>
      </x:c>
      <x:c r="B157" s="23" t="str">
        <x:v>Justificativa sem APR</x:v>
      </x:c>
      <x:c r="C157" s="23" t="str">
        <x:v>justificativa sem apr</x:v>
      </x:c>
      <x:c r="D157" s="23" t="str">
        <x:v>Nao</x:v>
      </x:c>
      <x:c r="E157" s="23" t="str"/>
      <x:c r="F157" s="23" t="str">
        <x:v>Ausente</x:v>
      </x:c>
    </x:row>
    <x:row r="158">
      <x:c r="A158" s="23" t="str">
        <x:v>atividade_especial</x:v>
      </x:c>
      <x:c r="B158" s="23" t="str">
        <x:v>Atividade Especial</x:v>
      </x:c>
      <x:c r="C158" s="23" t="str">
        <x:v>atividade especial</x:v>
      </x:c>
      <x:c r="D158" s="23" t="str">
        <x:v>Nao</x:v>
      </x:c>
      <x:c r="E158" s="23" t="str"/>
      <x:c r="F158" s="23" t="str">
        <x:v>Ausente</x:v>
      </x:c>
    </x:row>
    <x:row r="159">
      <x:c r="A159" s="23" t="str">
        <x:v>atividade_especial</x:v>
      </x:c>
      <x:c r="B159" s="23" t="str">
        <x:v>Actividad Especial</x:v>
      </x:c>
      <x:c r="C159" s="23" t="str">
        <x:v>actividad especial</x:v>
      </x:c>
      <x:c r="D159" s="23" t="str">
        <x:v>Nao</x:v>
      </x:c>
      <x:c r="E159" s="23" t="str"/>
      <x:c r="F159" s="23" t="str">
        <x:v>Ausente</x:v>
      </x:c>
    </x:row>
    <x:row r="160">
      <x:c r="A160" s="23" t="str">
        <x:v>equipamento_retirado</x:v>
      </x:c>
      <x:c r="B160" s="23" t="str">
        <x:v>Equipamento Retirado</x:v>
      </x:c>
      <x:c r="C160" s="23" t="str">
        <x:v>equipamento retirado</x:v>
      </x:c>
      <x:c r="D160" s="23" t="str">
        <x:v>Nao</x:v>
      </x:c>
      <x:c r="E160" s="23" t="str"/>
      <x:c r="F160" s="23" t="str">
        <x:v>Ausente</x:v>
      </x:c>
    </x:row>
    <x:row r="161">
      <x:c r="A161" s="23" t="str">
        <x:v>destino</x:v>
      </x:c>
      <x:c r="B161" s="23" t="str">
        <x:v>Destino</x:v>
      </x:c>
      <x:c r="C161" s="23" t="str">
        <x:v>destino</x:v>
      </x:c>
      <x:c r="D161" s="23" t="str">
        <x:v>Sim</x:v>
      </x:c>
      <x:c r="E161" s="23" t="str">
        <x:v>destino</x:v>
      </x:c>
      <x:c r="F161" s="23" t="str">
        <x:v>Coberto</x:v>
      </x:c>
    </x:row>
    <x:row r="162">
      <x:c r="A162" s="23" t="str">
        <x:v>equipamento_instalado</x:v>
      </x:c>
      <x:c r="B162" s="23" t="str">
        <x:v>Equipamento Instalado</x:v>
      </x:c>
      <x:c r="C162" s="23" t="str">
        <x:v>equipamento instalado</x:v>
      </x:c>
      <x:c r="D162" s="23" t="str">
        <x:v>Nao</x:v>
      </x:c>
      <x:c r="E162" s="23" t="str"/>
      <x:c r="F162" s="23" t="str">
        <x:v>Ausente</x:v>
      </x:c>
    </x:row>
    <x:row r="163">
      <x:c r="A163" s="23" t="str">
        <x:v>origem</x:v>
      </x:c>
      <x:c r="B163" s="23" t="str">
        <x:v>Origem</x:v>
      </x:c>
      <x:c r="C163" s="23" t="str">
        <x:v>origem</x:v>
      </x:c>
      <x:c r="D163" s="23" t="str">
        <x:v>Sim</x:v>
      </x:c>
      <x:c r="E163" s="23" t="str">
        <x:v>origem</x:v>
      </x:c>
      <x:c r="F163" s="23" t="str">
        <x:v>Coberto</x:v>
      </x:c>
    </x:row>
    <x:row r="164">
      <x:c r="A164" s="23" t="str">
        <x:v>desativacao_da_localizacao</x:v>
      </x:c>
      <x:c r="B164" s="23" t="str">
        <x:v>Desativação da localização</x:v>
      </x:c>
      <x:c r="C164" s="23" t="str">
        <x:v>desativacao da localizacao</x:v>
      </x:c>
      <x:c r="D164" s="23" t="str">
        <x:v>Nao</x:v>
      </x:c>
      <x:c r="E164" s="23" t="str"/>
      <x:c r="F164" s="23" t="str">
        <x:v>Ausente</x:v>
      </x:c>
    </x:row>
    <x:row r="165">
      <x:c r="A165" s="23" t="str">
        <x:v>instalacao_estimada</x:v>
      </x:c>
      <x:c r="B165" s="23" t="str">
        <x:v>Instalação Estimada</x:v>
      </x:c>
      <x:c r="C165" s="23" t="str">
        <x:v>instalacao estimada</x:v>
      </x:c>
      <x:c r="D165" s="23" t="str">
        <x:v>Nao</x:v>
      </x:c>
      <x:c r="E165" s="23" t="str"/>
      <x:c r="F165" s="23" t="str">
        <x:v>Ausente</x:v>
      </x:c>
    </x:row>
    <x:row r="166">
      <x:c r="A166" s="23" t="str">
        <x:v>executado</x:v>
      </x:c>
      <x:c r="B166" s="23" t="str">
        <x:v>Executado</x:v>
      </x:c>
      <x:c r="C166" s="23" t="str">
        <x:v>executado</x:v>
      </x:c>
      <x:c r="D166" s="23" t="str">
        <x:v>Sim</x:v>
      </x:c>
      <x:c r="E166" s="23" t="str">
        <x:v>executado</x:v>
      </x:c>
      <x:c r="F166" s="23" t="str">
        <x:v>Coberto</x:v>
      </x:c>
    </x:row>
    <x:row r="167">
      <x:c r="A167" s="23" t="str">
        <x:v>concluido</x:v>
      </x:c>
      <x:c r="B167" s="23" t="str">
        <x:v>Concluído</x:v>
      </x:c>
      <x:c r="C167" s="23" t="str">
        <x:v>concluido</x:v>
      </x:c>
      <x:c r="D167" s="23" t="str">
        <x:v>Sim</x:v>
      </x:c>
      <x:c r="E167" s="23" t="str">
        <x:v>concluido</x:v>
      </x:c>
      <x:c r="F167" s="23" t="str">
        <x:v>Coberto</x:v>
      </x:c>
    </x:row>
    <x:row r="168">
      <x:c r="A168" s="23" t="str">
        <x:v>total_tempo_tpo_executada</x:v>
      </x:c>
      <x:c r="B168" s="23" t="str">
        <x:v>Total Tempo TPO Executada</x:v>
      </x:c>
      <x:c r="C168" s="23" t="str">
        <x:v>total tempo tpo executada</x:v>
      </x:c>
      <x:c r="D168" s="23" t="str">
        <x:v>Nao</x:v>
      </x:c>
      <x:c r="E168" s="23" t="str"/>
      <x:c r="F168" s="23" t="str">
        <x:v>Ausente</x:v>
      </x:c>
    </x:row>
    <x:row r="169">
      <x:c r="A169" s="23" t="str">
        <x:v>data_inicio_programada</x:v>
      </x:c>
      <x:c r="B169" s="23" t="str">
        <x:v>Data início Programada</x:v>
      </x:c>
      <x:c r="C169" s="23" t="str">
        <x:v>data inicio programada</x:v>
      </x:c>
      <x:c r="D169" s="23" t="str">
        <x:v>Nao</x:v>
      </x:c>
      <x:c r="E169" s="23" t="str"/>
      <x:c r="F169" s="23" t="str">
        <x:v>Ausente</x:v>
      </x:c>
    </x:row>
    <x:row r="170">
      <x:c r="A170" s="23" t="str">
        <x:v>data_programacao</x:v>
      </x:c>
      <x:c r="B170" s="23" t="str">
        <x:v>Data de programação</x:v>
      </x:c>
      <x:c r="C170" s="23" t="str">
        <x:v>data de programacao</x:v>
      </x:c>
      <x:c r="D170" s="23" t="str">
        <x:v>Nao</x:v>
      </x:c>
      <x:c r="E170" s="23" t="str"/>
      <x:c r="F170" s="23" t="str">
        <x:v>Ausente</x:v>
      </x:c>
    </x:row>
    <x:row r="171">
      <x:c r="A171" s="23" t="str">
        <x:v>data_inicio_reprogramada</x:v>
      </x:c>
      <x:c r="B171" s="23" t="str">
        <x:v>Data início Reprogramada</x:v>
      </x:c>
      <x:c r="C171" s="23" t="str">
        <x:v>data inicio reprogramada</x:v>
      </x:c>
      <x:c r="D171" s="23" t="str">
        <x:v>Nao</x:v>
      </x:c>
      <x:c r="E171" s="23" t="str"/>
      <x:c r="F171" s="23" t="str">
        <x:v>Ausente</x:v>
      </x:c>
    </x:row>
    <x:row r="172">
      <x:c r="A172" s="23" t="str">
        <x:v>data_reprogramacao</x:v>
      </x:c>
      <x:c r="B172" s="23" t="str">
        <x:v>Data de reprogramação</x:v>
      </x:c>
      <x:c r="C172" s="23" t="str">
        <x:v>data de reprogramacao</x:v>
      </x:c>
      <x:c r="D172" s="23" t="str">
        <x:v>Nao</x:v>
      </x:c>
      <x:c r="E172" s="23" t="str"/>
      <x:c r="F172" s="23" t="str">
        <x:v>Ausente</x:v>
      </x:c>
    </x:row>
    <x:row r="173">
      <x:c r="A173" s="23" t="str">
        <x:v>situacao_reprogramacao</x:v>
      </x:c>
      <x:c r="B173" s="23" t="str">
        <x:v>Situação de Reprogramação</x:v>
      </x:c>
      <x:c r="C173" s="23" t="str">
        <x:v>situacao de reprogramacao</x:v>
      </x:c>
      <x:c r="D173" s="23" t="str">
        <x:v>Nao</x:v>
      </x:c>
      <x:c r="E173" s="23" t="str"/>
      <x:c r="F173" s="23" t="str">
        <x:v>Ausente</x:v>
      </x:c>
    </x:row>
    <x:row r="174">
      <x:c r="A174" s="23" t="str">
        <x:v>total_de_reprogramacoes</x:v>
      </x:c>
      <x:c r="B174" s="23" t="str">
        <x:v>Total de Reprogramações</x:v>
      </x:c>
      <x:c r="C174" s="23" t="str">
        <x:v>total de reprogramacoes</x:v>
      </x:c>
      <x:c r="D174" s="23" t="str">
        <x:v>Sim</x:v>
      </x:c>
      <x:c r="E174" s="23" t="str">
        <x:v>total_de_reprogramacoes</x:v>
      </x:c>
      <x:c r="F174" s="23" t="str">
        <x:v>Coberto</x:v>
      </x:c>
    </x:row>
    <x:row r="175">
      <x:c r="A175" s="23" t="str">
        <x:v>situacao_de_desvio</x:v>
      </x:c>
      <x:c r="B175" s="23" t="str">
        <x:v>Situação de Desvio</x:v>
      </x:c>
      <x:c r="C175" s="23" t="str">
        <x:v>situacao de desvio</x:v>
      </x:c>
      <x:c r="D175" s="23" t="str">
        <x:v>Nao</x:v>
      </x:c>
      <x:c r="E175" s="23" t="str"/>
      <x:c r="F175" s="23" t="str">
        <x:v>Ausente</x:v>
      </x:c>
    </x:row>
    <x:row r="176">
      <x:c r="A176" s="23" t="str">
        <x:v>relacao</x:v>
      </x:c>
      <x:c r="B176" s="23" t="str">
        <x:v>Relação</x:v>
      </x:c>
      <x:c r="C176" s="23" t="str">
        <x:v>relacao</x:v>
      </x:c>
      <x:c r="D176" s="23" t="str">
        <x:v>Sim</x:v>
      </x:c>
      <x:c r="E176" s="23" t="str">
        <x:v>relacao</x:v>
      </x:c>
      <x:c r="F176" s="23" t="str">
        <x:v>Coberto</x:v>
      </x:c>
    </x:row>
    <x:row r="177">
      <x:c r="A177" s="23" t="str">
        <x:v>sn</x:v>
      </x:c>
      <x:c r="B177" s="23" t="str">
        <x:v>SN</x:v>
      </x:c>
      <x:c r="C177" s="23" t="str">
        <x:v>sn</x:v>
      </x:c>
      <x:c r="D177" s="23" t="str">
        <x:v>Nao</x:v>
      </x:c>
      <x:c r="E177" s="23" t="str"/>
      <x:c r="F177" s="23" t="str">
        <x:v>Ausente</x:v>
      </x:c>
    </x:row>
    <x:row r="178">
      <x:c r="A178" s="23" t="str">
        <x:v>ate_1</x:v>
      </x:c>
      <x:c r="B178" s="23" t="str">
        <x:v>Até (1)</x:v>
      </x:c>
      <x:c r="C178" s="23" t="str">
        <x:v>ate (1)</x:v>
      </x:c>
      <x:c r="D178" s="23" t="str">
        <x:v>Nao</x:v>
      </x:c>
      <x:c r="E178" s="23" t="str"/>
      <x:c r="F178" s="23" t="str">
        <x:v>Ausente</x:v>
      </x:c>
    </x:row>
    <x:row r="179">
      <x:c r="A179" s="23" t="str">
        <x:v>ate_2</x:v>
      </x:c>
      <x:c r="B179" s="23" t="str">
        <x:v>Até (2)</x:v>
      </x:c>
      <x:c r="C179" s="23" t="str">
        <x:v>ate (2)</x:v>
      </x:c>
      <x:c r="D179" s="23" t="str">
        <x:v>Nao</x:v>
      </x:c>
      <x:c r="E179" s="23" t="str"/>
      <x:c r="F179" s="23" t="str">
        <x:v>Ausente</x:v>
      </x:c>
    </x:row>
    <x:row r="180">
      <x:c r="A180" s="23" t="str">
        <x:v>desde_2</x:v>
      </x:c>
      <x:c r="B180" s="23" t="str">
        <x:v>Desde (2)</x:v>
      </x:c>
      <x:c r="C180" s="23" t="str">
        <x:v>desde (2)</x:v>
      </x:c>
      <x:c r="D180" s="23" t="str">
        <x:v>Nao</x:v>
      </x:c>
      <x:c r="E180" s="23" t="str"/>
      <x:c r="F180" s="23" t="str">
        <x:v>Ausente</x:v>
      </x:c>
    </x:row>
    <x:row r="181">
      <x:c r="A181" s="23" t="str">
        <x:v>numero_ssa_relacionada_1</x:v>
      </x:c>
      <x:c r="B181" s="23" t="str">
        <x:v>Número da SSA Relacionada</x:v>
      </x:c>
      <x:c r="C181" s="23" t="str">
        <x:v>numero da ssa relacionada</x:v>
      </x:c>
      <x:c r="D181" s="23" t="str">
        <x:v>Sim</x:v>
      </x:c>
      <x:c r="E181" s="23" t="str">
        <x:v>numero_ssa_relacionada_1</x:v>
      </x:c>
      <x:c r="F181" s="23" t="str">
        <x:v>Coberto</x:v>
      </x:c>
    </x:row>
    <x:row r="182">
      <x:c r="A182" s="23" t="str">
        <x:v>numero_ssa_relacionada_2</x:v>
      </x:c>
      <x:c r="B182" s="23" t="str">
        <x:v>Número da SSA Relacionada (2)</x:v>
      </x:c>
      <x:c r="C182" s="23" t="str">
        <x:v>numero da ssa relacionada (2)</x:v>
      </x:c>
      <x:c r="D182" s="23" t="str">
        <x:v>Sim</x:v>
      </x:c>
      <x:c r="E182" s="23" t="str">
        <x:v>numero_ssa_relacionada_2</x:v>
      </x:c>
      <x:c r="F182" s="23" t="str">
        <x:v>Coberto</x:v>
      </x:c>
    </x:row>
    <x:row r="183">
      <x:c r="A183" s="23" t="str">
        <x:v>setor_emissor_relacionado_1</x:v>
      </x:c>
      <x:c r="B183" s="23" t="str">
        <x:v>Setor Emissor Relacionado</x:v>
      </x:c>
      <x:c r="C183" s="23" t="str">
        <x:v>setor emissor relacionado</x:v>
      </x:c>
      <x:c r="D183" s="23" t="str">
        <x:v>Nao</x:v>
      </x:c>
      <x:c r="E183" s="23" t="str"/>
      <x:c r="F183" s="23" t="str">
        <x:v>Ausente</x:v>
      </x:c>
    </x:row>
    <x:row r="184">
      <x:c r="A184" s="23" t="str">
        <x:v>setor_emissor_relacionado_2</x:v>
      </x:c>
      <x:c r="B184" s="23" t="str">
        <x:v>Setor Emissor Relacionado (2)</x:v>
      </x:c>
      <x:c r="C184" s="23" t="str">
        <x:v>setor emissor relacionado (2)</x:v>
      </x:c>
      <x:c r="D184" s="23" t="str">
        <x:v>Nao</x:v>
      </x:c>
      <x:c r="E184" s="23" t="str"/>
      <x:c r="F184" s="23" t="str">
        <x:v>Ausente</x:v>
      </x:c>
    </x:row>
    <x:row r="185">
      <x:c r="A185" s="23" t="str">
        <x:v>setor_executor_relacionado_1</x:v>
      </x:c>
      <x:c r="B185" s="23" t="str">
        <x:v>Setor Executor Relacionado</x:v>
      </x:c>
      <x:c r="C185" s="23" t="str">
        <x:v>setor executor relacionado</x:v>
      </x:c>
      <x:c r="D185" s="23" t="str">
        <x:v>Nao</x:v>
      </x:c>
      <x:c r="E185" s="23" t="str"/>
      <x:c r="F185" s="23" t="str">
        <x:v>Ausente</x:v>
      </x:c>
    </x:row>
    <x:row r="186">
      <x:c r="A186" s="23" t="str">
        <x:v>setor_executor_relacionado_2</x:v>
      </x:c>
      <x:c r="B186" s="23" t="str">
        <x:v>Setor Executor Relacionado (2)</x:v>
      </x:c>
      <x:c r="C186" s="23" t="str">
        <x:v>setor executor relacionado (2)</x:v>
      </x:c>
      <x:c r="D186" s="23" t="str">
        <x:v>Nao</x:v>
      </x:c>
      <x:c r="E186" s="23" t="str"/>
      <x:c r="F186" s="23" t="str">
        <x:v>Ausente</x:v>
      </x:c>
    </x:row>
    <x:row r="187">
      <x:c r="A187" s="23" t="str">
        <x:v>situacao_relacionada_1</x:v>
      </x:c>
      <x:c r="B187" s="23" t="str">
        <x:v>Situação Relacionada</x:v>
      </x:c>
      <x:c r="C187" s="23" t="str">
        <x:v>situacao relacionada</x:v>
      </x:c>
      <x:c r="D187" s="23" t="str">
        <x:v>Sim</x:v>
      </x:c>
      <x:c r="E187" s="23" t="str">
        <x:v>situacao_relacionada_1</x:v>
      </x:c>
      <x:c r="F187" s="23" t="str">
        <x:v>Coberto</x:v>
      </x:c>
    </x:row>
    <x:row r="188">
      <x:c r="A188" s="23" t="str">
        <x:v>situacao_relacionada_2</x:v>
      </x:c>
      <x:c r="B188" s="23" t="str">
        <x:v>Situação Relacionada (2)</x:v>
      </x:c>
      <x:c r="C188" s="23" t="str">
        <x:v>situacao relacionada (2)</x:v>
      </x:c>
      <x:c r="D188" s="23" t="str">
        <x:v>Sim</x:v>
      </x:c>
      <x:c r="E188" s="23" t="str">
        <x:v>situacao_relacionada_2</x:v>
      </x:c>
      <x:c r="F188" s="23" t="str">
        <x:v>Coberto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055a96af05444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52" hidden="0" customWidth="1"/>
  </x:cols>
  <x:sheetData>
    <x:row r="1" ht="28" customHeight="1">
      <x:c r="A1" s="3" t="str">
        <x:v>Catalogo completo de colunas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85 chaves de dominio; 84 persistidas no banco porque qtd_derivadas e virtual.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5" t="str">
        <x:v>Chave</x:v>
      </x:c>
      <x:c r="B4" s="16" t="str">
        <x:v>Label</x:v>
      </x:c>
      <x:c r="C4" s="16" t="str">
        <x:v>Tipo</x:v>
      </x:c>
      <x:c r="D4" s="16" t="str">
        <x:v>Persistida</x:v>
      </x:c>
      <x:c r="E4" s="16" t="str">
        <x:v>Visivel</x:v>
      </x:c>
      <x:c r="F4" s="16" t="str">
        <x:v>Filtravel</x:v>
      </x:c>
      <x:c r="G4" s="16" t="str">
        <x:v>Aliases Python</x:v>
      </x:c>
      <x:c r="H4" s="16" t="str">
        <x:v>Aliases C++</x:v>
      </x:c>
      <x:c r="I4" s="17" t="str">
        <x:v>Comportamento de import</x:v>
      </x:c>
    </x:row>
    <x:row r="5">
      <x:c r="A5" s="22" t="str">
        <x:v>id</x:v>
      </x:c>
      <x:c r="B5" s="22" t="str">
        <x:v>ID</x:v>
      </x:c>
      <x:c r="C5" s="22" t="str">
        <x:v>Integer</x:v>
      </x:c>
      <x:c r="D5" s="22" t="str">
        <x:v>Sim</x:v>
      </x:c>
      <x:c r="E5" s="22" t="str">
        <x:v>Nao</x:v>
      </x:c>
      <x:c r="F5" s="22" t="str">
        <x:v>Nao</x:v>
      </x:c>
      <x:c r="G5" s="22" t="n">
        <x:v>0</x:v>
      </x:c>
      <x:c r="H5" s="22" t="n">
        <x:v>0</x:v>
      </x:c>
      <x:c r="I5" s="22" t="str">
        <x:v>Header ausente vira NULL no replace</x:v>
      </x:c>
    </x:row>
    <x:row r="6">
      <x:c r="A6" s="23" t="str">
        <x:v>numero_ssa</x:v>
      </x:c>
      <x:c r="B6" s="23" t="str">
        <x:v>No SSA</x:v>
      </x:c>
      <x:c r="C6" s="23" t="str">
        <x:v>Text</x:v>
      </x:c>
      <x:c r="D6" s="23" t="str">
        <x:v>Sim</x:v>
      </x:c>
      <x:c r="E6" s="23" t="str">
        <x:v>Sim</x:v>
      </x:c>
      <x:c r="F6" s="23" t="str">
        <x:v>Sim</x:v>
      </x:c>
      <x:c r="G6" s="23" t="n">
        <x:v>11</x:v>
      </x:c>
      <x:c r="H6" s="23" t="n">
        <x:v>5</x:v>
      </x:c>
      <x:c r="I6" s="23" t="str">
        <x:v>Header ausente vira NULL no replace</x:v>
      </x:c>
    </x:row>
    <x:row r="7">
      <x:c r="A7" s="23" t="str">
        <x:v>situacao</x:v>
      </x:c>
      <x:c r="B7" s="23" t="str">
        <x:v>Sit.</x:v>
      </x:c>
      <x:c r="C7" s="23" t="str">
        <x:v>Text</x:v>
      </x:c>
      <x:c r="D7" s="23" t="str">
        <x:v>Sim</x:v>
      </x:c>
      <x:c r="E7" s="23" t="str">
        <x:v>Sim</x:v>
      </x:c>
      <x:c r="F7" s="23" t="str">
        <x:v>Sim</x:v>
      </x:c>
      <x:c r="G7" s="23" t="n">
        <x:v>11</x:v>
      </x:c>
      <x:c r="H7" s="23" t="n">
        <x:v>2</x:v>
      </x:c>
      <x:c r="I7" s="23" t="str">
        <x:v>Header ausente vira NULL no replace</x:v>
      </x:c>
    </x:row>
    <x:row r="8">
      <x:c r="A8" s="23" t="str">
        <x:v>localizacao_codigo</x:v>
      </x:c>
      <x:c r="B8" s="23" t="str">
        <x:v>Loc.</x:v>
      </x:c>
      <x:c r="C8" s="23" t="str">
        <x:v>Text</x:v>
      </x:c>
      <x:c r="D8" s="23" t="str">
        <x:v>Sim</x:v>
      </x:c>
      <x:c r="E8" s="23" t="str">
        <x:v>Sim</x:v>
      </x:c>
      <x:c r="F8" s="23" t="str">
        <x:v>Sim</x:v>
      </x:c>
      <x:c r="G8" s="23" t="n">
        <x:v>10</x:v>
      </x:c>
      <x:c r="H8" s="23" t="n">
        <x:v>4</x:v>
      </x:c>
      <x:c r="I8" s="23" t="str">
        <x:v>Header ausente vira NULL no replace</x:v>
      </x:c>
    </x:row>
    <x:row r="9">
      <x:c r="A9" s="23" t="str">
        <x:v>setor_emissor</x:v>
      </x:c>
      <x:c r="B9" s="23" t="str">
        <x:v>Emis.</x:v>
      </x:c>
      <x:c r="C9" s="23" t="str">
        <x:v>Text</x:v>
      </x:c>
      <x:c r="D9" s="23" t="str">
        <x:v>Sim</x:v>
      </x:c>
      <x:c r="E9" s="23" t="str">
        <x:v>Sim</x:v>
      </x:c>
      <x:c r="F9" s="23" t="str">
        <x:v>Sim</x:v>
      </x:c>
      <x:c r="G9" s="23" t="n">
        <x:v>7</x:v>
      </x:c>
      <x:c r="H9" s="23" t="n">
        <x:v>2</x:v>
      </x:c>
      <x:c r="I9" s="23" t="str">
        <x:v>Header ausente vira NULL no replace</x:v>
      </x:c>
    </x:row>
    <x:row r="10">
      <x:c r="A10" s="23" t="str">
        <x:v>setor_executor</x:v>
      </x:c>
      <x:c r="B10" s="23" t="str">
        <x:v>Exec.</x:v>
      </x:c>
      <x:c r="C10" s="23" t="str">
        <x:v>Text</x:v>
      </x:c>
      <x:c r="D10" s="23" t="str">
        <x:v>Sim</x:v>
      </x:c>
      <x:c r="E10" s="23" t="str">
        <x:v>Sim</x:v>
      </x:c>
      <x:c r="F10" s="23" t="str">
        <x:v>Sim</x:v>
      </x:c>
      <x:c r="G10" s="23" t="n">
        <x:v>6</x:v>
      </x:c>
      <x:c r="H10" s="23" t="n">
        <x:v>2</x:v>
      </x:c>
      <x:c r="I10" s="23" t="str">
        <x:v>Header ausente vira NULL no replace</x:v>
      </x:c>
    </x:row>
    <x:row r="11">
      <x:c r="A11" s="23" t="str">
        <x:v>qtd_derivadas</x:v>
      </x:c>
      <x:c r="B11" s="23" t="str">
        <x:v>Qtd Der.</x:v>
      </x:c>
      <x:c r="C11" s="23" t="str">
        <x:v>Integer</x:v>
      </x:c>
      <x:c r="D11" s="23" t="str">
        <x:v>Nao, virtual</x:v>
      </x:c>
      <x:c r="E11" s="23" t="str">
        <x:v>Sim</x:v>
      </x:c>
      <x:c r="F11" s="23" t="str">
        <x:v>Nao</x:v>
      </x:c>
      <x:c r="G11" s="23" t="n">
        <x:v>0</x:v>
      </x:c>
      <x:c r="H11" s="23" t="n">
        <x:v>0</x:v>
      </x:c>
      <x:c r="I11" s="23" t="str">
        <x:v>Expressao virtual de consulta</x:v>
      </x:c>
    </x:row>
    <x:row r="12">
      <x:c r="A12" s="23" t="str">
        <x:v>descricao_ssa</x:v>
      </x:c>
      <x:c r="B12" s="23" t="str">
        <x:v>Descricao SSA</x:v>
      </x:c>
      <x:c r="C12" s="23" t="str">
        <x:v>Text</x:v>
      </x:c>
      <x:c r="D12" s="23" t="str">
        <x:v>Sim</x:v>
      </x:c>
      <x:c r="E12" s="23" t="str">
        <x:v>Sim</x:v>
      </x:c>
      <x:c r="F12" s="23" t="str">
        <x:v>Sim</x:v>
      </x:c>
      <x:c r="G12" s="23" t="n">
        <x:v>10</x:v>
      </x:c>
      <x:c r="H12" s="23" t="n">
        <x:v>3</x:v>
      </x:c>
      <x:c r="I12" s="23" t="str">
        <x:v>Header ausente vira NULL no replace</x:v>
      </x:c>
    </x:row>
    <x:row r="13">
      <x:c r="A13" s="23" t="str">
        <x:v>data_cadastro</x:v>
      </x:c>
      <x:c r="B13" s="23" t="str">
        <x:v>Cadastro</x:v>
      </x:c>
      <x:c r="C13" s="23" t="str">
        <x:v>DateText</x:v>
      </x:c>
      <x:c r="D13" s="23" t="str">
        <x:v>Sim</x:v>
      </x:c>
      <x:c r="E13" s="23" t="str">
        <x:v>Nao</x:v>
      </x:c>
      <x:c r="F13" s="23" t="str">
        <x:v>Nao</x:v>
      </x:c>
      <x:c r="G13" s="23" t="n">
        <x:v>11</x:v>
      </x:c>
      <x:c r="H13" s="23" t="n">
        <x:v>4</x:v>
      </x:c>
      <x:c r="I13" s="23" t="str">
        <x:v>Header ausente vira NULL no replace</x:v>
      </x:c>
    </x:row>
    <x:row r="14">
      <x:c r="A14" s="23" t="str">
        <x:v>derivada_de</x:v>
      </x:c>
      <x:c r="B14" s="23" t="str">
        <x:v>Der. de</x:v>
      </x:c>
      <x:c r="C14" s="23" t="str">
        <x:v>Text</x:v>
      </x:c>
      <x:c r="D14" s="23" t="str">
        <x:v>Sim</x:v>
      </x:c>
      <x:c r="E14" s="23" t="str">
        <x:v>Sim</x:v>
      </x:c>
      <x:c r="F14" s="23" t="str">
        <x:v>Sim</x:v>
      </x:c>
      <x:c r="G14" s="23" t="n">
        <x:v>2</x:v>
      </x:c>
      <x:c r="H14" s="23" t="n">
        <x:v>1</x:v>
      </x:c>
      <x:c r="I14" s="23" t="str">
        <x:v>Header ausente vira NULL no replace</x:v>
      </x:c>
    </x:row>
    <x:row r="15">
      <x:c r="A15" s="23" t="str">
        <x:v>semana_cadastro</x:v>
      </x:c>
      <x:c r="B15" s="23" t="str">
        <x:v>Sem. Cad.</x:v>
      </x:c>
      <x:c r="C15" s="23" t="str">
        <x:v>Integer</x:v>
      </x:c>
      <x:c r="D15" s="23" t="str">
        <x:v>Sim</x:v>
      </x:c>
      <x:c r="E15" s="23" t="str">
        <x:v>Sim</x:v>
      </x:c>
      <x:c r="F15" s="23" t="str">
        <x:v>Sim</x:v>
      </x:c>
      <x:c r="G15" s="23" t="n">
        <x:v>8</x:v>
      </x:c>
      <x:c r="H15" s="23" t="n">
        <x:v>4</x:v>
      </x:c>
      <x:c r="I15" s="23" t="str">
        <x:v>Header ausente vira NULL no replace</x:v>
      </x:c>
    </x:row>
    <x:row r="16">
      <x:c r="A16" s="23" t="str">
        <x:v>descricao_localizacao</x:v>
      </x:c>
      <x:c r="B16" s="23" t="str">
        <x:v>Desc. Loc.</x:v>
      </x:c>
      <x:c r="C16" s="23" t="str">
        <x:v>Text</x:v>
      </x:c>
      <x:c r="D16" s="23" t="str">
        <x:v>Sim</x:v>
      </x:c>
      <x:c r="E16" s="23" t="str">
        <x:v>Nao</x:v>
      </x:c>
      <x:c r="F16" s="23" t="str">
        <x:v>Sim</x:v>
      </x:c>
      <x:c r="G16" s="23" t="n">
        <x:v>3</x:v>
      </x:c>
      <x:c r="H16" s="23" t="n">
        <x:v>3</x:v>
      </x:c>
      <x:c r="I16" s="23" t="str">
        <x:v>Header ausente vira NULL no replace</x:v>
      </x:c>
    </x:row>
    <x:row r="17">
      <x:c r="A17" s="23" t="str">
        <x:v>equipamento</x:v>
      </x:c>
      <x:c r="B17" s="23" t="str">
        <x:v>Equip.</x:v>
      </x:c>
      <x:c r="C17" s="23" t="str">
        <x:v>Text</x:v>
      </x:c>
      <x:c r="D17" s="23" t="str">
        <x:v>Sim</x:v>
      </x:c>
      <x:c r="E17" s="23" t="str">
        <x:v>Nao</x:v>
      </x:c>
      <x:c r="F17" s="23" t="str">
        <x:v>Sim</x:v>
      </x:c>
      <x:c r="G17" s="23" t="n">
        <x:v>2</x:v>
      </x:c>
      <x:c r="H17" s="23" t="n">
        <x:v>2</x:v>
      </x:c>
      <x:c r="I17" s="23" t="str">
        <x:v>Header ausente vira NULL no replace</x:v>
      </x:c>
    </x:row>
    <x:row r="18">
      <x:c r="A18" s="23" t="str">
        <x:v>descricao_execucao</x:v>
      </x:c>
      <x:c r="B18" s="23" t="str">
        <x:v>Descricao Execucao</x:v>
      </x:c>
      <x:c r="C18" s="23" t="str">
        <x:v>Text</x:v>
      </x:c>
      <x:c r="D18" s="23" t="str">
        <x:v>Sim</x:v>
      </x:c>
      <x:c r="E18" s="23" t="str">
        <x:v>Sim</x:v>
      </x:c>
      <x:c r="F18" s="23" t="str">
        <x:v>Sim</x:v>
      </x:c>
      <x:c r="G18" s="23" t="n">
        <x:v>7</x:v>
      </x:c>
      <x:c r="H18" s="23" t="n">
        <x:v>2</x:v>
      </x:c>
      <x:c r="I18" s="23" t="str">
        <x:v>Header ausente vira NULL no replace</x:v>
      </x:c>
    </x:row>
    <x:row r="19">
      <x:c r="A19" s="23" t="str">
        <x:v>solicitante</x:v>
      </x:c>
      <x:c r="B19" s="23" t="str">
        <x:v>Solicitante</x:v>
      </x:c>
      <x:c r="C19" s="23" t="str">
        <x:v>Text</x:v>
      </x:c>
      <x:c r="D19" s="23" t="str">
        <x:v>Sim</x:v>
      </x:c>
      <x:c r="E19" s="23" t="str">
        <x:v>Sim</x:v>
      </x:c>
      <x:c r="F19" s="23" t="str">
        <x:v>Sim</x:v>
      </x:c>
      <x:c r="G19" s="23" t="n">
        <x:v>1</x:v>
      </x:c>
      <x:c r="H19" s="23" t="n">
        <x:v>1</x:v>
      </x:c>
      <x:c r="I19" s="23" t="str">
        <x:v>Header ausente vira NULL no replace</x:v>
      </x:c>
    </x:row>
    <x:row r="20">
      <x:c r="A20" s="23" t="str">
        <x:v>responsavel_programacao</x:v>
      </x:c>
      <x:c r="B20" s="23" t="str">
        <x:v>Resp. Programacao</x:v>
      </x:c>
      <x:c r="C20" s="23" t="str">
        <x:v>Text</x:v>
      </x:c>
      <x:c r="D20" s="23" t="str">
        <x:v>Sim</x:v>
      </x:c>
      <x:c r="E20" s="23" t="str">
        <x:v>Sim</x:v>
      </x:c>
      <x:c r="F20" s="23" t="str">
        <x:v>Sim</x:v>
      </x:c>
      <x:c r="G20" s="23" t="n">
        <x:v>3</x:v>
      </x:c>
      <x:c r="H20" s="23" t="n">
        <x:v>3</x:v>
      </x:c>
      <x:c r="I20" s="23" t="str">
        <x:v>Header ausente vira NULL no replace</x:v>
      </x:c>
    </x:row>
    <x:row r="21">
      <x:c r="A21" s="23" t="str">
        <x:v>responsavel_execucao</x:v>
      </x:c>
      <x:c r="B21" s="23" t="str">
        <x:v>Resp. Execucao</x:v>
      </x:c>
      <x:c r="C21" s="23" t="str">
        <x:v>Text</x:v>
      </x:c>
      <x:c r="D21" s="23" t="str">
        <x:v>Sim</x:v>
      </x:c>
      <x:c r="E21" s="23" t="str">
        <x:v>Sim</x:v>
      </x:c>
      <x:c r="F21" s="23" t="str">
        <x:v>Sim</x:v>
      </x:c>
      <x:c r="G21" s="23" t="n">
        <x:v>3</x:v>
      </x:c>
      <x:c r="H21" s="23" t="n">
        <x:v>3</x:v>
      </x:c>
      <x:c r="I21" s="23" t="str">
        <x:v>Header ausente vira NULL no replace</x:v>
      </x:c>
    </x:row>
    <x:row r="22">
      <x:c r="A22" s="23" t="str">
        <x:v>servico_origem</x:v>
      </x:c>
      <x:c r="B22" s="23" t="str">
        <x:v>Servico Origem</x:v>
      </x:c>
      <x:c r="C22" s="23" t="str">
        <x:v>Text</x:v>
      </x:c>
      <x:c r="D22" s="23" t="str">
        <x:v>Sim</x:v>
      </x:c>
      <x:c r="E22" s="23" t="str">
        <x:v>Nao</x:v>
      </x:c>
      <x:c r="F22" s="23" t="str">
        <x:v>Sim</x:v>
      </x:c>
      <x:c r="G22" s="23" t="n">
        <x:v>2</x:v>
      </x:c>
      <x:c r="H22" s="23" t="n">
        <x:v>2</x:v>
      </x:c>
      <x:c r="I22" s="23" t="str">
        <x:v>Header ausente vira NULL no replace</x:v>
      </x:c>
    </x:row>
    <x:row r="23">
      <x:c r="A23" s="23" t="str">
        <x:v>sistema_origem</x:v>
      </x:c>
      <x:c r="B23" s="23" t="str">
        <x:v>Sistema Origem</x:v>
      </x:c>
      <x:c r="C23" s="23" t="str">
        <x:v>Text</x:v>
      </x:c>
      <x:c r="D23" s="23" t="str">
        <x:v>Sim</x:v>
      </x:c>
      <x:c r="E23" s="23" t="str">
        <x:v>Nao</x:v>
      </x:c>
      <x:c r="F23" s="23" t="str">
        <x:v>Sim</x:v>
      </x:c>
      <x:c r="G23" s="23" t="n">
        <x:v>2</x:v>
      </x:c>
      <x:c r="H23" s="23" t="n">
        <x:v>2</x:v>
      </x:c>
      <x:c r="I23" s="23" t="str">
        <x:v>Header ausente vira NULL no replace</x:v>
      </x:c>
    </x:row>
    <x:row r="24">
      <x:c r="A24" s="23" t="str">
        <x:v>arquivo_origem</x:v>
      </x:c>
      <x:c r="B24" s="23" t="str">
        <x:v>Arquivo Origem</x:v>
      </x:c>
      <x:c r="C24" s="23" t="str">
        <x:v>Text</x:v>
      </x:c>
      <x:c r="D24" s="23" t="str">
        <x:v>Sim</x:v>
      </x:c>
      <x:c r="E24" s="23" t="str">
        <x:v>Nao</x:v>
      </x:c>
      <x:c r="F24" s="23" t="str">
        <x:v>Nao</x:v>
      </x:c>
      <x:c r="G24" s="23" t="n">
        <x:v>0</x:v>
      </x:c>
      <x:c r="H24" s="23" t="n">
        <x:v>0</x:v>
      </x:c>
      <x:c r="I24" s="23" t="str">
        <x:v>Sintetizado se ausente; externo usa nome de staging</x:v>
      </x:c>
    </x:row>
    <x:row r="25">
      <x:c r="A25" s="23" t="str">
        <x:v>data_planilha</x:v>
      </x:c>
      <x:c r="B25" s="23" t="str">
        <x:v>Data Planilha</x:v>
      </x:c>
      <x:c r="C25" s="23" t="str">
        <x:v>DateText</x:v>
      </x:c>
      <x:c r="D25" s="23" t="str">
        <x:v>Sim</x:v>
      </x:c>
      <x:c r="E25" s="23" t="str">
        <x:v>Nao</x:v>
      </x:c>
      <x:c r="F25" s="23" t="str">
        <x:v>Nao</x:v>
      </x:c>
      <x:c r="G25" s="23" t="n">
        <x:v>0</x:v>
      </x:c>
      <x:c r="H25" s="23" t="n">
        <x:v>0</x:v>
      </x:c>
      <x:c r="I25" s="23" t="str">
        <x:v>Nao derivado; somente header reconhecido</x:v>
      </x:c>
    </x:row>
    <x:row r="26">
      <x:c r="A26" s="23" t="str">
        <x:v>grau_prioridade_emissao</x:v>
      </x:c>
      <x:c r="B26" s="23" t="str">
        <x:v>Prior. Emissao</x:v>
      </x:c>
      <x:c r="C26" s="23" t="str">
        <x:v>Text</x:v>
      </x:c>
      <x:c r="D26" s="23" t="str">
        <x:v>Sim</x:v>
      </x:c>
      <x:c r="E26" s="23" t="str">
        <x:v>Nao</x:v>
      </x:c>
      <x:c r="F26" s="23" t="str">
        <x:v>Sim</x:v>
      </x:c>
      <x:c r="G26" s="23" t="n">
        <x:v>4</x:v>
      </x:c>
      <x:c r="H26" s="23" t="n">
        <x:v>3</x:v>
      </x:c>
      <x:c r="I26" s="23" t="str">
        <x:v>Header ausente vira NULL no replace</x:v>
      </x:c>
    </x:row>
    <x:row r="27">
      <x:c r="A27" s="23" t="str">
        <x:v>grau_prioridade_planejamento</x:v>
      </x:c>
      <x:c r="B27" s="23" t="str">
        <x:v>Prior. Planej.</x:v>
      </x:c>
      <x:c r="C27" s="23" t="str">
        <x:v>Text</x:v>
      </x:c>
      <x:c r="D27" s="23" t="str">
        <x:v>Sim</x:v>
      </x:c>
      <x:c r="E27" s="23" t="str">
        <x:v>Nao</x:v>
      </x:c>
      <x:c r="F27" s="23" t="str">
        <x:v>Sim</x:v>
      </x:c>
      <x:c r="G27" s="23" t="n">
        <x:v>4</x:v>
      </x:c>
      <x:c r="H27" s="23" t="n">
        <x:v>3</x:v>
      </x:c>
      <x:c r="I27" s="23" t="str">
        <x:v>Header ausente vira NULL no replace</x:v>
      </x:c>
    </x:row>
    <x:row r="28">
      <x:c r="A28" s="23" t="str">
        <x:v>execucao_simples</x:v>
      </x:c>
      <x:c r="B28" s="23" t="str">
        <x:v>Exec. Simples</x:v>
      </x:c>
      <x:c r="C28" s="23" t="str">
        <x:v>Text</x:v>
      </x:c>
      <x:c r="D28" s="23" t="str">
        <x:v>Sim</x:v>
      </x:c>
      <x:c r="E28" s="23" t="str">
        <x:v>Nao</x:v>
      </x:c>
      <x:c r="F28" s="23" t="str">
        <x:v>Nao</x:v>
      </x:c>
      <x:c r="G28" s="23" t="n">
        <x:v>2</x:v>
      </x:c>
      <x:c r="H28" s="23" t="n">
        <x:v>2</x:v>
      </x:c>
      <x:c r="I28" s="23" t="str">
        <x:v>Header ausente vira NULL no replace</x:v>
      </x:c>
    </x:row>
    <x:row r="29">
      <x:c r="A29" s="23" t="str">
        <x:v>semana_programada</x:v>
      </x:c>
      <x:c r="B29" s="23" t="str">
        <x:v>Sem. Prog.</x:v>
      </x:c>
      <x:c r="C29" s="23" t="str">
        <x:v>Integer</x:v>
      </x:c>
      <x:c r="D29" s="23" t="str">
        <x:v>Sim</x:v>
      </x:c>
      <x:c r="E29" s="23" t="str">
        <x:v>Sim</x:v>
      </x:c>
      <x:c r="F29" s="23" t="str">
        <x:v>Sim</x:v>
      </x:c>
      <x:c r="G29" s="23" t="n">
        <x:v>2</x:v>
      </x:c>
      <x:c r="H29" s="23" t="n">
        <x:v>2</x:v>
      </x:c>
      <x:c r="I29" s="23" t="str">
        <x:v>Header ausente vira NULL no replace</x:v>
      </x:c>
    </x:row>
    <x:row r="30">
      <x:c r="A30" s="23" t="str">
        <x:v>prazo_limite</x:v>
      </x:c>
      <x:c r="B30" s="23" t="str">
        <x:v>Prazo Limite</x:v>
      </x:c>
      <x:c r="C30" s="23" t="str">
        <x:v>DateText</x:v>
      </x:c>
      <x:c r="D30" s="23" t="str">
        <x:v>Sim</x:v>
      </x:c>
      <x:c r="E30" s="23" t="str">
        <x:v>Nao</x:v>
      </x:c>
      <x:c r="F30" s="23" t="str">
        <x:v>Nao</x:v>
      </x:c>
      <x:c r="G30" s="23" t="n">
        <x:v>1</x:v>
      </x:c>
      <x:c r="H30" s="23" t="n">
        <x:v>0</x:v>
      </x:c>
      <x:c r="I30" s="23" t="str">
        <x:v>Header ausente vira NULL no replace</x:v>
      </x:c>
    </x:row>
    <x:row r="31">
      <x:c r="A31" s="23" t="str">
        <x:v>status_execucao_prazo</x:v>
      </x:c>
      <x:c r="B31" s="23" t="str">
        <x:v>Status Prazo</x:v>
      </x:c>
      <x:c r="C31" s="23" t="str">
        <x:v>Text</x:v>
      </x:c>
      <x:c r="D31" s="23" t="str">
        <x:v>Sim</x:v>
      </x:c>
      <x:c r="E31" s="23" t="str">
        <x:v>Nao</x:v>
      </x:c>
      <x:c r="F31" s="23" t="str">
        <x:v>Nao</x:v>
      </x:c>
      <x:c r="G31" s="23" t="n">
        <x:v>2</x:v>
      </x:c>
      <x:c r="H31" s="23" t="n">
        <x:v>0</x:v>
      </x:c>
      <x:c r="I31" s="23" t="str">
        <x:v>Header ausente vira NULL no replace</x:v>
      </x:c>
    </x:row>
    <x:row r="32">
      <x:c r="A32" s="23" t="str">
        <x:v>tempo_disponivel</x:v>
      </x:c>
      <x:c r="B32" s="23" t="str">
        <x:v>Tempo Disponivel</x:v>
      </x:c>
      <x:c r="C32" s="23" t="str">
        <x:v>Text</x:v>
      </x:c>
      <x:c r="D32" s="23" t="str">
        <x:v>Sim</x:v>
      </x:c>
      <x:c r="E32" s="23" t="str">
        <x:v>Nao</x:v>
      </x:c>
      <x:c r="F32" s="23" t="str">
        <x:v>Nao</x:v>
      </x:c>
      <x:c r="G32" s="23" t="n">
        <x:v>2</x:v>
      </x:c>
      <x:c r="H32" s="23" t="n">
        <x:v>0</x:v>
      </x:c>
      <x:c r="I32" s="23" t="str">
        <x:v>Header ausente vira NULL no replace</x:v>
      </x:c>
    </x:row>
    <x:row r="33">
      <x:c r="A33" s="23" t="str">
        <x:v>data_limite</x:v>
      </x:c>
      <x:c r="B33" s="23" t="str">
        <x:v>Data Limite</x:v>
      </x:c>
      <x:c r="C33" s="23" t="str">
        <x:v>DateText</x:v>
      </x:c>
      <x:c r="D33" s="23" t="str">
        <x:v>Sim</x:v>
      </x:c>
      <x:c r="E33" s="23" t="str">
        <x:v>Nao</x:v>
      </x:c>
      <x:c r="F33" s="23" t="str">
        <x:v>Nao</x:v>
      </x:c>
      <x:c r="G33" s="23" t="n">
        <x:v>1</x:v>
      </x:c>
      <x:c r="H33" s="23" t="n">
        <x:v>0</x:v>
      </x:c>
      <x:c r="I33" s="23" t="str">
        <x:v>Header ausente vira NULL no replace</x:v>
      </x:c>
    </x:row>
    <x:row r="34">
      <x:c r="A34" s="23" t="str">
        <x:v>tempo_excedido</x:v>
      </x:c>
      <x:c r="B34" s="23" t="str">
        <x:v>Tempo Excedido</x:v>
      </x:c>
      <x:c r="C34" s="23" t="str">
        <x:v>Text</x:v>
      </x:c>
      <x:c r="D34" s="23" t="str">
        <x:v>Sim</x:v>
      </x:c>
      <x:c r="E34" s="23" t="str">
        <x:v>Nao</x:v>
      </x:c>
      <x:c r="F34" s="23" t="str">
        <x:v>Nao</x:v>
      </x:c>
      <x:c r="G34" s="23" t="n">
        <x:v>1</x:v>
      </x:c>
      <x:c r="H34" s="23" t="n">
        <x:v>0</x:v>
      </x:c>
      <x:c r="I34" s="23" t="str">
        <x:v>Header ausente vira NULL no replace</x:v>
      </x:c>
    </x:row>
    <x:row r="35">
      <x:c r="A35" s="23" t="str">
        <x:v>desde</x:v>
      </x:c>
      <x:c r="B35" s="23" t="str">
        <x:v>Desde</x:v>
      </x:c>
      <x:c r="C35" s="23" t="str">
        <x:v>Text</x:v>
      </x:c>
      <x:c r="D35" s="23" t="str">
        <x:v>Sim</x:v>
      </x:c>
      <x:c r="E35" s="23" t="str">
        <x:v>Nao</x:v>
      </x:c>
      <x:c r="F35" s="23" t="str">
        <x:v>Nao</x:v>
      </x:c>
      <x:c r="G35" s="23" t="n">
        <x:v>1</x:v>
      </x:c>
      <x:c r="H35" s="23" t="n">
        <x:v>0</x:v>
      </x:c>
      <x:c r="I35" s="23" t="str">
        <x:v>Header ausente vira NULL no replace</x:v>
      </x:c>
    </x:row>
    <x:row r="36">
      <x:c r="A36" s="23" t="str">
        <x:v>tempo_total</x:v>
      </x:c>
      <x:c r="B36" s="23" t="str">
        <x:v>Tempo Total</x:v>
      </x:c>
      <x:c r="C36" s="23" t="str">
        <x:v>Text</x:v>
      </x:c>
      <x:c r="D36" s="23" t="str">
        <x:v>Sim</x:v>
      </x:c>
      <x:c r="E36" s="23" t="str">
        <x:v>Nao</x:v>
      </x:c>
      <x:c r="F36" s="23" t="str">
        <x:v>Nao</x:v>
      </x:c>
      <x:c r="G36" s="23" t="n">
        <x:v>1</x:v>
      </x:c>
      <x:c r="H36" s="23" t="n">
        <x:v>0</x:v>
      </x:c>
      <x:c r="I36" s="23" t="str">
        <x:v>Header ausente vira NULL no replace</x:v>
      </x:c>
    </x:row>
    <x:row r="37">
      <x:c r="A37" s="23" t="str">
        <x:v>desde_1</x:v>
      </x:c>
      <x:c r="B37" s="23" t="str">
        <x:v>Desde 1</x:v>
      </x:c>
      <x:c r="C37" s="23" t="str">
        <x:v>Text</x:v>
      </x:c>
      <x:c r="D37" s="23" t="str">
        <x:v>Sim</x:v>
      </x:c>
      <x:c r="E37" s="23" t="str">
        <x:v>Nao</x:v>
      </x:c>
      <x:c r="F37" s="23" t="str">
        <x:v>Nao</x:v>
      </x:c>
      <x:c r="G37" s="23" t="n">
        <x:v>1</x:v>
      </x:c>
      <x:c r="H37" s="23" t="n">
        <x:v>0</x:v>
      </x:c>
      <x:c r="I37" s="23" t="str">
        <x:v>Header ausente vira NULL no replace</x:v>
      </x:c>
    </x:row>
    <x:row r="38">
      <x:c r="A38" s="23" t="str">
        <x:v>total_tempo_tpe_planejado</x:v>
      </x:c>
      <x:c r="B38" s="23" t="str">
        <x:v>TPE Planejado</x:v>
      </x:c>
      <x:c r="C38" s="23" t="str">
        <x:v>Text</x:v>
      </x:c>
      <x:c r="D38" s="23" t="str">
        <x:v>Sim</x:v>
      </x:c>
      <x:c r="E38" s="23" t="str">
        <x:v>Nao</x:v>
      </x:c>
      <x:c r="F38" s="23" t="str">
        <x:v>Nao</x:v>
      </x:c>
      <x:c r="G38" s="23" t="n">
        <x:v>2</x:v>
      </x:c>
      <x:c r="H38" s="23" t="n">
        <x:v>0</x:v>
      </x:c>
      <x:c r="I38" s="23" t="str">
        <x:v>Header ausente vira NULL no replace</x:v>
      </x:c>
    </x:row>
    <x:row r="39">
      <x:c r="A39" s="23" t="str">
        <x:v>total_tempo_tex_planejado</x:v>
      </x:c>
      <x:c r="B39" s="23" t="str">
        <x:v>TEX Planejado</x:v>
      </x:c>
      <x:c r="C39" s="23" t="str">
        <x:v>Text</x:v>
      </x:c>
      <x:c r="D39" s="23" t="str">
        <x:v>Sim</x:v>
      </x:c>
      <x:c r="E39" s="23" t="str">
        <x:v>Nao</x:v>
      </x:c>
      <x:c r="F39" s="23" t="str">
        <x:v>Nao</x:v>
      </x:c>
      <x:c r="G39" s="23" t="n">
        <x:v>2</x:v>
      </x:c>
      <x:c r="H39" s="23" t="n">
        <x:v>0</x:v>
      </x:c>
      <x:c r="I39" s="23" t="str">
        <x:v>Header ausente vira NULL no replace</x:v>
      </x:c>
    </x:row>
    <x:row r="40">
      <x:c r="A40" s="23" t="str">
        <x:v>total_tempo_tpo_planejado</x:v>
      </x:c>
      <x:c r="B40" s="23" t="str">
        <x:v>TPO Planejado</x:v>
      </x:c>
      <x:c r="C40" s="23" t="str">
        <x:v>Text</x:v>
      </x:c>
      <x:c r="D40" s="23" t="str">
        <x:v>Sim</x:v>
      </x:c>
      <x:c r="E40" s="23" t="str">
        <x:v>Nao</x:v>
      </x:c>
      <x:c r="F40" s="23" t="str">
        <x:v>Nao</x:v>
      </x:c>
      <x:c r="G40" s="23" t="n">
        <x:v>2</x:v>
      </x:c>
      <x:c r="H40" s="23" t="n">
        <x:v>0</x:v>
      </x:c>
      <x:c r="I40" s="23" t="str">
        <x:v>Header ausente vira NULL no replace</x:v>
      </x:c>
    </x:row>
    <x:row r="41">
      <x:c r="A41" s="23" t="str">
        <x:v>total_horas_programadas</x:v>
      </x:c>
      <x:c r="B41" s="23" t="str">
        <x:v>Horas Programadas</x:v>
      </x:c>
      <x:c r="C41" s="23" t="str">
        <x:v>Text</x:v>
      </x:c>
      <x:c r="D41" s="23" t="str">
        <x:v>Sim</x:v>
      </x:c>
      <x:c r="E41" s="23" t="str">
        <x:v>Nao</x:v>
      </x:c>
      <x:c r="F41" s="23" t="str">
        <x:v>Nao</x:v>
      </x:c>
      <x:c r="G41" s="23" t="n">
        <x:v>3</x:v>
      </x:c>
      <x:c r="H41" s="23" t="n">
        <x:v>0</x:v>
      </x:c>
      <x:c r="I41" s="23" t="str">
        <x:v>Header ausente vira NULL no replace</x:v>
      </x:c>
    </x:row>
    <x:row r="42">
      <x:c r="A42" s="23" t="str">
        <x:v>total_tempo_tpe_executada</x:v>
      </x:c>
      <x:c r="B42" s="23" t="str">
        <x:v>TPE Executada</x:v>
      </x:c>
      <x:c r="C42" s="23" t="str">
        <x:v>Text</x:v>
      </x:c>
      <x:c r="D42" s="23" t="str">
        <x:v>Sim</x:v>
      </x:c>
      <x:c r="E42" s="23" t="str">
        <x:v>Nao</x:v>
      </x:c>
      <x:c r="F42" s="23" t="str">
        <x:v>Nao</x:v>
      </x:c>
      <x:c r="G42" s="23" t="n">
        <x:v>1</x:v>
      </x:c>
      <x:c r="H42" s="23" t="n">
        <x:v>0</x:v>
      </x:c>
      <x:c r="I42" s="23" t="str">
        <x:v>Header ausente vira NULL no replace</x:v>
      </x:c>
    </x:row>
    <x:row r="43">
      <x:c r="A43" s="23" t="str">
        <x:v>semana_executada</x:v>
      </x:c>
      <x:c r="B43" s="23" t="str">
        <x:v>Sem. Exec.</x:v>
      </x:c>
      <x:c r="C43" s="23" t="str">
        <x:v>Integer</x:v>
      </x:c>
      <x:c r="D43" s="23" t="str">
        <x:v>Sim</x:v>
      </x:c>
      <x:c r="E43" s="23" t="str">
        <x:v>Sim</x:v>
      </x:c>
      <x:c r="F43" s="23" t="str">
        <x:v>Sim</x:v>
      </x:c>
      <x:c r="G43" s="23" t="n">
        <x:v>2</x:v>
      </x:c>
      <x:c r="H43" s="23" t="n">
        <x:v>2</x:v>
      </x:c>
      <x:c r="I43" s="23" t="str">
        <x:v>Header ausente vira NULL no replace</x:v>
      </x:c>
    </x:row>
    <x:row r="44">
      <x:c r="A44" s="23" t="str">
        <x:v>num_reprogramacoes</x:v>
      </x:c>
      <x:c r="B44" s="23" t="str">
        <x:v>Reprogramacoes</x:v>
      </x:c>
      <x:c r="C44" s="23" t="str">
        <x:v>Integer</x:v>
      </x:c>
      <x:c r="D44" s="23" t="str">
        <x:v>Sim</x:v>
      </x:c>
      <x:c r="E44" s="23" t="str">
        <x:v>Nao</x:v>
      </x:c>
      <x:c r="F44" s="23" t="str">
        <x:v>Nao</x:v>
      </x:c>
      <x:c r="G44" s="23" t="n">
        <x:v>4</x:v>
      </x:c>
      <x:c r="H44" s="23" t="n">
        <x:v>3</x:v>
      </x:c>
      <x:c r="I44" s="23" t="str">
        <x:v>Header ausente vira NULL no replace</x:v>
      </x:c>
    </x:row>
    <x:row r="45">
      <x:c r="A45" s="23" t="str">
        <x:v>execucao_parcial</x:v>
      </x:c>
      <x:c r="B45" s="23" t="str">
        <x:v>Exec. Parcial</x:v>
      </x:c>
      <x:c r="C45" s="23" t="str">
        <x:v>Text</x:v>
      </x:c>
      <x:c r="D45" s="23" t="str">
        <x:v>Sim</x:v>
      </x:c>
      <x:c r="E45" s="23" t="str">
        <x:v>Nao</x:v>
      </x:c>
      <x:c r="F45" s="23" t="str">
        <x:v>Sim</x:v>
      </x:c>
      <x:c r="G45" s="23" t="n">
        <x:v>2</x:v>
      </x:c>
      <x:c r="H45" s="23" t="n">
        <x:v>0</x:v>
      </x:c>
      <x:c r="I45" s="23" t="str">
        <x:v>Header ausente vira NULL no replace</x:v>
      </x:c>
    </x:row>
    <x:row r="46">
      <x:c r="A46" s="23" t="str">
        <x:v>anomalia</x:v>
      </x:c>
      <x:c r="B46" s="23" t="str">
        <x:v>Anomalia</x:v>
      </x:c>
      <x:c r="C46" s="23" t="str">
        <x:v>Text</x:v>
      </x:c>
      <x:c r="D46" s="23" t="str">
        <x:v>Sim</x:v>
      </x:c>
      <x:c r="E46" s="23" t="str">
        <x:v>Nao</x:v>
      </x:c>
      <x:c r="F46" s="23" t="str">
        <x:v>Sim</x:v>
      </x:c>
      <x:c r="G46" s="23" t="n">
        <x:v>1</x:v>
      </x:c>
      <x:c r="H46" s="23" t="n">
        <x:v>1</x:v>
      </x:c>
      <x:c r="I46" s="23" t="str">
        <x:v>Header ausente vira NULL no replace</x:v>
      </x:c>
    </x:row>
    <x:row r="47">
      <x:c r="A47" s="23" t="str">
        <x:v>registros_espera</x:v>
      </x:c>
      <x:c r="B47" s="23" t="str">
        <x:v>Reg. Espera</x:v>
      </x:c>
      <x:c r="C47" s="23" t="str">
        <x:v>Text</x:v>
      </x:c>
      <x:c r="D47" s="23" t="str">
        <x:v>Sim</x:v>
      </x:c>
      <x:c r="E47" s="23" t="str">
        <x:v>Nao</x:v>
      </x:c>
      <x:c r="F47" s="23" t="str">
        <x:v>Nao</x:v>
      </x:c>
      <x:c r="G47" s="23" t="n">
        <x:v>1</x:v>
      </x:c>
      <x:c r="H47" s="23" t="n">
        <x:v>0</x:v>
      </x:c>
      <x:c r="I47" s="23" t="str">
        <x:v>Header ausente vira NULL no replace</x:v>
      </x:c>
    </x:row>
    <x:row r="48">
      <x:c r="A48" s="23" t="str">
        <x:v>num_reprobaciones</x:v>
      </x:c>
      <x:c r="B48" s="23" t="str">
        <x:v>Reprobaciones</x:v>
      </x:c>
      <x:c r="C48" s="23" t="str">
        <x:v>Integer</x:v>
      </x:c>
      <x:c r="D48" s="23" t="str">
        <x:v>Sim</x:v>
      </x:c>
      <x:c r="E48" s="23" t="str">
        <x:v>Nao</x:v>
      </x:c>
      <x:c r="F48" s="23" t="str">
        <x:v>Nao</x:v>
      </x:c>
      <x:c r="G48" s="23" t="n">
        <x:v>2</x:v>
      </x:c>
      <x:c r="H48" s="23" t="n">
        <x:v>0</x:v>
      </x:c>
      <x:c r="I48" s="23" t="str">
        <x:v>Header ausente vira NULL no replace</x:v>
      </x:c>
    </x:row>
    <x:row r="49">
      <x:c r="A49" s="23" t="str">
        <x:v>situacao_espera</x:v>
      </x:c>
      <x:c r="B49" s="23" t="str">
        <x:v>Situacao Espera</x:v>
      </x:c>
      <x:c r="C49" s="23" t="str">
        <x:v>Text</x:v>
      </x:c>
      <x:c r="D49" s="23" t="str">
        <x:v>Sim</x:v>
      </x:c>
      <x:c r="E49" s="23" t="str">
        <x:v>Nao</x:v>
      </x:c>
      <x:c r="F49" s="23" t="str">
        <x:v>Sim</x:v>
      </x:c>
      <x:c r="G49" s="23" t="n">
        <x:v>1</x:v>
      </x:c>
      <x:c r="H49" s="23" t="n">
        <x:v>0</x:v>
      </x:c>
      <x:c r="I49" s="23" t="str">
        <x:v>Header ausente vira NULL no replace</x:v>
      </x:c>
    </x:row>
    <x:row r="50">
      <x:c r="A50" s="23" t="str">
        <x:v>numero_desvios</x:v>
      </x:c>
      <x:c r="B50" s="23" t="str">
        <x:v>Desvios</x:v>
      </x:c>
      <x:c r="C50" s="23" t="str">
        <x:v>Integer</x:v>
      </x:c>
      <x:c r="D50" s="23" t="str">
        <x:v>Sim</x:v>
      </x:c>
      <x:c r="E50" s="23" t="str">
        <x:v>Nao</x:v>
      </x:c>
      <x:c r="F50" s="23" t="str">
        <x:v>Sim</x:v>
      </x:c>
      <x:c r="G50" s="23" t="n">
        <x:v>3</x:v>
      </x:c>
      <x:c r="H50" s="23" t="n">
        <x:v>0</x:v>
      </x:c>
      <x:c r="I50" s="23" t="str">
        <x:v>Header ausente vira NULL no replace</x:v>
      </x:c>
    </x:row>
    <x:row r="51">
      <x:c r="A51" s="23" t="str">
        <x:v>ate</x:v>
      </x:c>
      <x:c r="B51" s="23" t="str">
        <x:v>Ate</x:v>
      </x:c>
      <x:c r="C51" s="23" t="str">
        <x:v>Text</x:v>
      </x:c>
      <x:c r="D51" s="23" t="str">
        <x:v>Sim</x:v>
      </x:c>
      <x:c r="E51" s="23" t="str">
        <x:v>Nao</x:v>
      </x:c>
      <x:c r="F51" s="23" t="str">
        <x:v>Nao</x:v>
      </x:c>
      <x:c r="G51" s="23" t="n">
        <x:v>1</x:v>
      </x:c>
      <x:c r="H51" s="23" t="n">
        <x:v>0</x:v>
      </x:c>
      <x:c r="I51" s="23" t="str">
        <x:v>Header ausente vira NULL no replace</x:v>
      </x:c>
    </x:row>
    <x:row r="52">
      <x:c r="A52" s="23" t="str">
        <x:v>justificativa</x:v>
      </x:c>
      <x:c r="B52" s="23" t="str">
        <x:v>Justificativa</x:v>
      </x:c>
      <x:c r="C52" s="23" t="str">
        <x:v>Text</x:v>
      </x:c>
      <x:c r="D52" s="23" t="str">
        <x:v>Sim</x:v>
      </x:c>
      <x:c r="E52" s="23" t="str">
        <x:v>Nao</x:v>
      </x:c>
      <x:c r="F52" s="23" t="str">
        <x:v>Sim</x:v>
      </x:c>
      <x:c r="G52" s="23" t="n">
        <x:v>2</x:v>
      </x:c>
      <x:c r="H52" s="23" t="n">
        <x:v>1</x:v>
      </x:c>
      <x:c r="I52" s="23" t="str">
        <x:v>Header ausente vira NULL no replace</x:v>
      </x:c>
    </x:row>
    <x:row r="53">
      <x:c r="A53" s="23" t="str">
        <x:v>total_tempo_tex_executada</x:v>
      </x:c>
      <x:c r="B53" s="23" t="str">
        <x:v>TEX Executada</x:v>
      </x:c>
      <x:c r="C53" s="23" t="str">
        <x:v>Text</x:v>
      </x:c>
      <x:c r="D53" s="23" t="str">
        <x:v>Sim</x:v>
      </x:c>
      <x:c r="E53" s="23" t="str">
        <x:v>Nao</x:v>
      </x:c>
      <x:c r="F53" s="23" t="str">
        <x:v>Nao</x:v>
      </x:c>
      <x:c r="G53" s="23" t="n">
        <x:v>1</x:v>
      </x:c>
      <x:c r="H53" s="23" t="n">
        <x:v>0</x:v>
      </x:c>
      <x:c r="I53" s="23" t="str">
        <x:v>Header ausente vira NULL no replace</x:v>
      </x:c>
    </x:row>
    <x:row r="54">
      <x:c r="A54" s="23" t="str">
        <x:v>parciais</x:v>
      </x:c>
      <x:c r="B54" s="23" t="str">
        <x:v>Parciais</x:v>
      </x:c>
      <x:c r="C54" s="23" t="str">
        <x:v>Text</x:v>
      </x:c>
      <x:c r="D54" s="23" t="str">
        <x:v>Sim</x:v>
      </x:c>
      <x:c r="E54" s="23" t="str">
        <x:v>Nao</x:v>
      </x:c>
      <x:c r="F54" s="23" t="str">
        <x:v>Sim</x:v>
      </x:c>
      <x:c r="G54" s="23" t="n">
        <x:v>1</x:v>
      </x:c>
      <x:c r="H54" s="23" t="n">
        <x:v>0</x:v>
      </x:c>
      <x:c r="I54" s="23" t="str">
        <x:v>Header ausente vira NULL no replace</x:v>
      </x:c>
    </x:row>
    <x:row r="55">
      <x:c r="A55" s="23" t="str">
        <x:v>situacao_da_parcial</x:v>
      </x:c>
      <x:c r="B55" s="23" t="str">
        <x:v>Situacao Parcial</x:v>
      </x:c>
      <x:c r="C55" s="23" t="str">
        <x:v>Text</x:v>
      </x:c>
      <x:c r="D55" s="23" t="str">
        <x:v>Sim</x:v>
      </x:c>
      <x:c r="E55" s="23" t="str">
        <x:v>Nao</x:v>
      </x:c>
      <x:c r="F55" s="23" t="str">
        <x:v>Sim</x:v>
      </x:c>
      <x:c r="G55" s="23" t="n">
        <x:v>1</x:v>
      </x:c>
      <x:c r="H55" s="23" t="n">
        <x:v>0</x:v>
      </x:c>
      <x:c r="I55" s="23" t="str">
        <x:v>Header ausente vira NULL no replace</x:v>
      </x:c>
    </x:row>
    <x:row r="56">
      <x:c r="A56" s="23" t="str">
        <x:v>ate_1</x:v>
      </x:c>
      <x:c r="B56" s="23" t="str">
        <x:v>Ate 1</x:v>
      </x:c>
      <x:c r="C56" s="23" t="str">
        <x:v>Text</x:v>
      </x:c>
      <x:c r="D56" s="23" t="str">
        <x:v>Sim</x:v>
      </x:c>
      <x:c r="E56" s="23" t="str">
        <x:v>Nao</x:v>
      </x:c>
      <x:c r="F56" s="23" t="str">
        <x:v>Nao</x:v>
      </x:c>
      <x:c r="G56" s="23" t="n">
        <x:v>1</x:v>
      </x:c>
      <x:c r="H56" s="23" t="n">
        <x:v>0</x:v>
      </x:c>
      <x:c r="I56" s="23" t="str">
        <x:v>Header ausente vira NULL no replace</x:v>
      </x:c>
    </x:row>
    <x:row r="57">
      <x:c r="A57" s="23" t="str">
        <x:v>ate_2</x:v>
      </x:c>
      <x:c r="B57" s="23" t="str">
        <x:v>Ate 2</x:v>
      </x:c>
      <x:c r="C57" s="23" t="str">
        <x:v>Text</x:v>
      </x:c>
      <x:c r="D57" s="23" t="str">
        <x:v>Sim</x:v>
      </x:c>
      <x:c r="E57" s="23" t="str">
        <x:v>Nao</x:v>
      </x:c>
      <x:c r="F57" s="23" t="str">
        <x:v>Nao</x:v>
      </x:c>
      <x:c r="G57" s="23" t="n">
        <x:v>1</x:v>
      </x:c>
      <x:c r="H57" s="23" t="n">
        <x:v>0</x:v>
      </x:c>
      <x:c r="I57" s="23" t="str">
        <x:v>Header ausente vira NULL no replace</x:v>
      </x:c>
    </x:row>
    <x:row r="58">
      <x:c r="A58" s="23" t="str">
        <x:v>desde_2</x:v>
      </x:c>
      <x:c r="B58" s="23" t="str">
        <x:v>Desde 2</x:v>
      </x:c>
      <x:c r="C58" s="23" t="str">
        <x:v>Text</x:v>
      </x:c>
      <x:c r="D58" s="23" t="str">
        <x:v>Sim</x:v>
      </x:c>
      <x:c r="E58" s="23" t="str">
        <x:v>Nao</x:v>
      </x:c>
      <x:c r="F58" s="23" t="str">
        <x:v>Nao</x:v>
      </x:c>
      <x:c r="G58" s="23" t="n">
        <x:v>1</x:v>
      </x:c>
      <x:c r="H58" s="23" t="n">
        <x:v>0</x:v>
      </x:c>
      <x:c r="I58" s="23" t="str">
        <x:v>Header ausente vira NULL no replace</x:v>
      </x:c>
    </x:row>
    <x:row r="59">
      <x:c r="A59" s="23" t="str">
        <x:v>total_tempo_tpo_executada</x:v>
      </x:c>
      <x:c r="B59" s="23" t="str">
        <x:v>TPO Executada</x:v>
      </x:c>
      <x:c r="C59" s="23" t="str">
        <x:v>Text</x:v>
      </x:c>
      <x:c r="D59" s="23" t="str">
        <x:v>Sim</x:v>
      </x:c>
      <x:c r="E59" s="23" t="str">
        <x:v>Nao</x:v>
      </x:c>
      <x:c r="F59" s="23" t="str">
        <x:v>Nao</x:v>
      </x:c>
      <x:c r="G59" s="23" t="n">
        <x:v>1</x:v>
      </x:c>
      <x:c r="H59" s="23" t="n">
        <x:v>0</x:v>
      </x:c>
      <x:c r="I59" s="23" t="str">
        <x:v>Header ausente vira NULL no replace</x:v>
      </x:c>
    </x:row>
    <x:row r="60">
      <x:c r="A60" s="23" t="str">
        <x:v>atividade_especial</x:v>
      </x:c>
      <x:c r="B60" s="23" t="str">
        <x:v>Atividade Especial</x:v>
      </x:c>
      <x:c r="C60" s="23" t="str">
        <x:v>Text</x:v>
      </x:c>
      <x:c r="D60" s="23" t="str">
        <x:v>Sim</x:v>
      </x:c>
      <x:c r="E60" s="23" t="str">
        <x:v>Nao</x:v>
      </x:c>
      <x:c r="F60" s="23" t="str">
        <x:v>Sim</x:v>
      </x:c>
      <x:c r="G60" s="23" t="n">
        <x:v>2</x:v>
      </x:c>
      <x:c r="H60" s="23" t="n">
        <x:v>0</x:v>
      </x:c>
      <x:c r="I60" s="23" t="str">
        <x:v>Header ausente vira NULL no replace</x:v>
      </x:c>
    </x:row>
    <x:row r="61">
      <x:c r="A61" s="23" t="str">
        <x:v>equipamento_retirado</x:v>
      </x:c>
      <x:c r="B61" s="23" t="str">
        <x:v>Equip. Retirado</x:v>
      </x:c>
      <x:c r="C61" s="23" t="str">
        <x:v>Text</x:v>
      </x:c>
      <x:c r="D61" s="23" t="str">
        <x:v>Sim</x:v>
      </x:c>
      <x:c r="E61" s="23" t="str">
        <x:v>Nao</x:v>
      </x:c>
      <x:c r="F61" s="23" t="str">
        <x:v>Sim</x:v>
      </x:c>
      <x:c r="G61" s="23" t="n">
        <x:v>1</x:v>
      </x:c>
      <x:c r="H61" s="23" t="n">
        <x:v>0</x:v>
      </x:c>
      <x:c r="I61" s="23" t="str">
        <x:v>Header ausente vira NULL no replace</x:v>
      </x:c>
    </x:row>
    <x:row r="62">
      <x:c r="A62" s="23" t="str">
        <x:v>sn_retirado</x:v>
      </x:c>
      <x:c r="B62" s="23" t="str">
        <x:v>SN Retirado</x:v>
      </x:c>
      <x:c r="C62" s="23" t="str">
        <x:v>Text</x:v>
      </x:c>
      <x:c r="D62" s="23" t="str">
        <x:v>Sim</x:v>
      </x:c>
      <x:c r="E62" s="23" t="str">
        <x:v>Nao</x:v>
      </x:c>
      <x:c r="F62" s="23" t="str">
        <x:v>Nao</x:v>
      </x:c>
      <x:c r="G62" s="23" t="n">
        <x:v>0</x:v>
      </x:c>
      <x:c r="H62" s="23" t="n">
        <x:v>0</x:v>
      </x:c>
      <x:c r="I62" s="23" t="str">
        <x:v>Header ausente vira NULL no replace</x:v>
      </x:c>
    </x:row>
    <x:row r="63">
      <x:c r="A63" s="23" t="str">
        <x:v>destino</x:v>
      </x:c>
      <x:c r="B63" s="23" t="str">
        <x:v>Destino</x:v>
      </x:c>
      <x:c r="C63" s="23" t="str">
        <x:v>Text</x:v>
      </x:c>
      <x:c r="D63" s="23" t="str">
        <x:v>Sim</x:v>
      </x:c>
      <x:c r="E63" s="23" t="str">
        <x:v>Nao</x:v>
      </x:c>
      <x:c r="F63" s="23" t="str">
        <x:v>Sim</x:v>
      </x:c>
      <x:c r="G63" s="23" t="n">
        <x:v>1</x:v>
      </x:c>
      <x:c r="H63" s="23" t="n">
        <x:v>0</x:v>
      </x:c>
      <x:c r="I63" s="23" t="str">
        <x:v>Header ausente vira NULL no replace</x:v>
      </x:c>
    </x:row>
    <x:row r="64">
      <x:c r="A64" s="23" t="str">
        <x:v>equipamento_instalado</x:v>
      </x:c>
      <x:c r="B64" s="23" t="str">
        <x:v>Equip. Instalado</x:v>
      </x:c>
      <x:c r="C64" s="23" t="str">
        <x:v>Text</x:v>
      </x:c>
      <x:c r="D64" s="23" t="str">
        <x:v>Sim</x:v>
      </x:c>
      <x:c r="E64" s="23" t="str">
        <x:v>Nao</x:v>
      </x:c>
      <x:c r="F64" s="23" t="str">
        <x:v>Sim</x:v>
      </x:c>
      <x:c r="G64" s="23" t="n">
        <x:v>1</x:v>
      </x:c>
      <x:c r="H64" s="23" t="n">
        <x:v>0</x:v>
      </x:c>
      <x:c r="I64" s="23" t="str">
        <x:v>Header ausente vira NULL no replace</x:v>
      </x:c>
    </x:row>
    <x:row r="65">
      <x:c r="A65" s="23" t="str">
        <x:v>sn_instalado</x:v>
      </x:c>
      <x:c r="B65" s="23" t="str">
        <x:v>SN Instalado</x:v>
      </x:c>
      <x:c r="C65" s="23" t="str">
        <x:v>Text</x:v>
      </x:c>
      <x:c r="D65" s="23" t="str">
        <x:v>Sim</x:v>
      </x:c>
      <x:c r="E65" s="23" t="str">
        <x:v>Nao</x:v>
      </x:c>
      <x:c r="F65" s="23" t="str">
        <x:v>Nao</x:v>
      </x:c>
      <x:c r="G65" s="23" t="n">
        <x:v>0</x:v>
      </x:c>
      <x:c r="H65" s="23" t="n">
        <x:v>0</x:v>
      </x:c>
      <x:c r="I65" s="23" t="str">
        <x:v>Header ausente vira NULL no replace</x:v>
      </x:c>
    </x:row>
    <x:row r="66">
      <x:c r="A66" s="23" t="str">
        <x:v>sn_extra</x:v>
      </x:c>
      <x:c r="B66" s="23" t="str">
        <x:v>SN Extra</x:v>
      </x:c>
      <x:c r="C66" s="23" t="str">
        <x:v>Text</x:v>
      </x:c>
      <x:c r="D66" s="23" t="str">
        <x:v>Sim</x:v>
      </x:c>
      <x:c r="E66" s="23" t="str">
        <x:v>Nao</x:v>
      </x:c>
      <x:c r="F66" s="23" t="str">
        <x:v>Nao</x:v>
      </x:c>
      <x:c r="G66" s="23" t="n">
        <x:v>0</x:v>
      </x:c>
      <x:c r="H66" s="23" t="n">
        <x:v>0</x:v>
      </x:c>
      <x:c r="I66" s="23" t="str">
        <x:v>Header ausente vira NULL no replace</x:v>
      </x:c>
    </x:row>
    <x:row r="67">
      <x:c r="A67" s="23" t="str">
        <x:v>origem</x:v>
      </x:c>
      <x:c r="B67" s="23" t="str">
        <x:v>Origem</x:v>
      </x:c>
      <x:c r="C67" s="23" t="str">
        <x:v>Text</x:v>
      </x:c>
      <x:c r="D67" s="23" t="str">
        <x:v>Sim</x:v>
      </x:c>
      <x:c r="E67" s="23" t="str">
        <x:v>Nao</x:v>
      </x:c>
      <x:c r="F67" s="23" t="str">
        <x:v>Sim</x:v>
      </x:c>
      <x:c r="G67" s="23" t="n">
        <x:v>1</x:v>
      </x:c>
      <x:c r="H67" s="23" t="n">
        <x:v>0</x:v>
      </x:c>
      <x:c r="I67" s="23" t="str">
        <x:v>Header ausente vira NULL no replace</x:v>
      </x:c>
    </x:row>
    <x:row r="68">
      <x:c r="A68" s="23" t="str">
        <x:v>desativacao_da_localizacao</x:v>
      </x:c>
      <x:c r="B68" s="23" t="str">
        <x:v>Desativacao Local</x:v>
      </x:c>
      <x:c r="C68" s="23" t="str">
        <x:v>Text</x:v>
      </x:c>
      <x:c r="D68" s="23" t="str">
        <x:v>Sim</x:v>
      </x:c>
      <x:c r="E68" s="23" t="str">
        <x:v>Nao</x:v>
      </x:c>
      <x:c r="F68" s="23" t="str">
        <x:v>Sim</x:v>
      </x:c>
      <x:c r="G68" s="23" t="n">
        <x:v>1</x:v>
      </x:c>
      <x:c r="H68" s="23" t="n">
        <x:v>0</x:v>
      </x:c>
      <x:c r="I68" s="23" t="str">
        <x:v>Header ausente vira NULL no replace</x:v>
      </x:c>
    </x:row>
    <x:row r="69">
      <x:c r="A69" s="23" t="str">
        <x:v>instalacao_estimada</x:v>
      </x:c>
      <x:c r="B69" s="23" t="str">
        <x:v>Instalacao Estimada</x:v>
      </x:c>
      <x:c r="C69" s="23" t="str">
        <x:v>Text</x:v>
      </x:c>
      <x:c r="D69" s="23" t="str">
        <x:v>Sim</x:v>
      </x:c>
      <x:c r="E69" s="23" t="str">
        <x:v>Nao</x:v>
      </x:c>
      <x:c r="F69" s="23" t="str">
        <x:v>Sim</x:v>
      </x:c>
      <x:c r="G69" s="23" t="n">
        <x:v>1</x:v>
      </x:c>
      <x:c r="H69" s="23" t="n">
        <x:v>0</x:v>
      </x:c>
      <x:c r="I69" s="23" t="str">
        <x:v>Header ausente vira NULL no replace</x:v>
      </x:c>
    </x:row>
    <x:row r="70">
      <x:c r="A70" s="23" t="str">
        <x:v>executado</x:v>
      </x:c>
      <x:c r="B70" s="23" t="str">
        <x:v>Executado</x:v>
      </x:c>
      <x:c r="C70" s="23" t="str">
        <x:v>Text</x:v>
      </x:c>
      <x:c r="D70" s="23" t="str">
        <x:v>Sim</x:v>
      </x:c>
      <x:c r="E70" s="23" t="str">
        <x:v>Nao</x:v>
      </x:c>
      <x:c r="F70" s="23" t="str">
        <x:v>Sim</x:v>
      </x:c>
      <x:c r="G70" s="23" t="n">
        <x:v>1</x:v>
      </x:c>
      <x:c r="H70" s="23" t="n">
        <x:v>0</x:v>
      </x:c>
      <x:c r="I70" s="23" t="str">
        <x:v>Header ausente vira NULL no replace</x:v>
      </x:c>
    </x:row>
    <x:row r="71">
      <x:c r="A71" s="23" t="str">
        <x:v>concluido</x:v>
      </x:c>
      <x:c r="B71" s="23" t="str">
        <x:v>Concluido</x:v>
      </x:c>
      <x:c r="C71" s="23" t="str">
        <x:v>Text</x:v>
      </x:c>
      <x:c r="D71" s="23" t="str">
        <x:v>Sim</x:v>
      </x:c>
      <x:c r="E71" s="23" t="str">
        <x:v>Nao</x:v>
      </x:c>
      <x:c r="F71" s="23" t="str">
        <x:v>Sim</x:v>
      </x:c>
      <x:c r="G71" s="23" t="n">
        <x:v>1</x:v>
      </x:c>
      <x:c r="H71" s="23" t="n">
        <x:v>0</x:v>
      </x:c>
      <x:c r="I71" s="23" t="str">
        <x:v>Header ausente vira NULL no replace</x:v>
      </x:c>
    </x:row>
    <x:row r="72">
      <x:c r="A72" s="23" t="str">
        <x:v>data_inicio_programada</x:v>
      </x:c>
      <x:c r="B72" s="23" t="str">
        <x:v>Inicio Programado</x:v>
      </x:c>
      <x:c r="C72" s="23" t="str">
        <x:v>DateText</x:v>
      </x:c>
      <x:c r="D72" s="23" t="str">
        <x:v>Sim</x:v>
      </x:c>
      <x:c r="E72" s="23" t="str">
        <x:v>Nao</x:v>
      </x:c>
      <x:c r="F72" s="23" t="str">
        <x:v>Nao</x:v>
      </x:c>
      <x:c r="G72" s="23" t="n">
        <x:v>1</x:v>
      </x:c>
      <x:c r="H72" s="23" t="n">
        <x:v>0</x:v>
      </x:c>
      <x:c r="I72" s="23" t="str">
        <x:v>Header ausente vira NULL no replace</x:v>
      </x:c>
    </x:row>
    <x:row r="73">
      <x:c r="A73" s="23" t="str">
        <x:v>data_programacao</x:v>
      </x:c>
      <x:c r="B73" s="23" t="str">
        <x:v>Data Programacao</x:v>
      </x:c>
      <x:c r="C73" s="23" t="str">
        <x:v>DateText</x:v>
      </x:c>
      <x:c r="D73" s="23" t="str">
        <x:v>Sim</x:v>
      </x:c>
      <x:c r="E73" s="23" t="str">
        <x:v>Nao</x:v>
      </x:c>
      <x:c r="F73" s="23" t="str">
        <x:v>Nao</x:v>
      </x:c>
      <x:c r="G73" s="23" t="n">
        <x:v>1</x:v>
      </x:c>
      <x:c r="H73" s="23" t="n">
        <x:v>0</x:v>
      </x:c>
      <x:c r="I73" s="23" t="str">
        <x:v>Header ausente vira NULL no replace</x:v>
      </x:c>
    </x:row>
    <x:row r="74">
      <x:c r="A74" s="23" t="str">
        <x:v>data_inicio_reprogramada</x:v>
      </x:c>
      <x:c r="B74" s="23" t="str">
        <x:v>Inicio Reprogramado</x:v>
      </x:c>
      <x:c r="C74" s="23" t="str">
        <x:v>DateText</x:v>
      </x:c>
      <x:c r="D74" s="23" t="str">
        <x:v>Sim</x:v>
      </x:c>
      <x:c r="E74" s="23" t="str">
        <x:v>Nao</x:v>
      </x:c>
      <x:c r="F74" s="23" t="str">
        <x:v>Nao</x:v>
      </x:c>
      <x:c r="G74" s="23" t="n">
        <x:v>1</x:v>
      </x:c>
      <x:c r="H74" s="23" t="n">
        <x:v>0</x:v>
      </x:c>
      <x:c r="I74" s="23" t="str">
        <x:v>Header ausente vira NULL no replace</x:v>
      </x:c>
    </x:row>
    <x:row r="75">
      <x:c r="A75" s="23" t="str">
        <x:v>data_reprogramacao</x:v>
      </x:c>
      <x:c r="B75" s="23" t="str">
        <x:v>Data Reprogramacao</x:v>
      </x:c>
      <x:c r="C75" s="23" t="str">
        <x:v>DateText</x:v>
      </x:c>
      <x:c r="D75" s="23" t="str">
        <x:v>Sim</x:v>
      </x:c>
      <x:c r="E75" s="23" t="str">
        <x:v>Nao</x:v>
      </x:c>
      <x:c r="F75" s="23" t="str">
        <x:v>Nao</x:v>
      </x:c>
      <x:c r="G75" s="23" t="n">
        <x:v>1</x:v>
      </x:c>
      <x:c r="H75" s="23" t="n">
        <x:v>0</x:v>
      </x:c>
      <x:c r="I75" s="23" t="str">
        <x:v>Header ausente vira NULL no replace</x:v>
      </x:c>
    </x:row>
    <x:row r="76">
      <x:c r="A76" s="23" t="str">
        <x:v>situacao_reprogramacao</x:v>
      </x:c>
      <x:c r="B76" s="23" t="str">
        <x:v>Situacao Reprog.</x:v>
      </x:c>
      <x:c r="C76" s="23" t="str">
        <x:v>Text</x:v>
      </x:c>
      <x:c r="D76" s="23" t="str">
        <x:v>Sim</x:v>
      </x:c>
      <x:c r="E76" s="23" t="str">
        <x:v>Nao</x:v>
      </x:c>
      <x:c r="F76" s="23" t="str">
        <x:v>Sim</x:v>
      </x:c>
      <x:c r="G76" s="23" t="n">
        <x:v>1</x:v>
      </x:c>
      <x:c r="H76" s="23" t="n">
        <x:v>0</x:v>
      </x:c>
      <x:c r="I76" s="23" t="str">
        <x:v>Header ausente vira NULL no replace</x:v>
      </x:c>
    </x:row>
    <x:row r="77">
      <x:c r="A77" s="23" t="str">
        <x:v>total_de_reprogramacoes</x:v>
      </x:c>
      <x:c r="B77" s="23" t="str">
        <x:v>Total Reprog.</x:v>
      </x:c>
      <x:c r="C77" s="23" t="str">
        <x:v>Integer</x:v>
      </x:c>
      <x:c r="D77" s="23" t="str">
        <x:v>Sim</x:v>
      </x:c>
      <x:c r="E77" s="23" t="str">
        <x:v>Nao</x:v>
      </x:c>
      <x:c r="F77" s="23" t="str">
        <x:v>Nao</x:v>
      </x:c>
      <x:c r="G77" s="23" t="n">
        <x:v>1</x:v>
      </x:c>
      <x:c r="H77" s="23" t="n">
        <x:v>1</x:v>
      </x:c>
      <x:c r="I77" s="23" t="str">
        <x:v>Header ausente vira NULL no replace</x:v>
      </x:c>
    </x:row>
    <x:row r="78">
      <x:c r="A78" s="23" t="str">
        <x:v>situacao_de_desvio</x:v>
      </x:c>
      <x:c r="B78" s="23" t="str">
        <x:v>Situacao Desvio</x:v>
      </x:c>
      <x:c r="C78" s="23" t="str">
        <x:v>Text</x:v>
      </x:c>
      <x:c r="D78" s="23" t="str">
        <x:v>Sim</x:v>
      </x:c>
      <x:c r="E78" s="23" t="str">
        <x:v>Nao</x:v>
      </x:c>
      <x:c r="F78" s="23" t="str">
        <x:v>Sim</x:v>
      </x:c>
      <x:c r="G78" s="23" t="n">
        <x:v>1</x:v>
      </x:c>
      <x:c r="H78" s="23" t="n">
        <x:v>0</x:v>
      </x:c>
      <x:c r="I78" s="23" t="str">
        <x:v>Header ausente vira NULL no replace</x:v>
      </x:c>
    </x:row>
    <x:row r="79">
      <x:c r="A79" s="23" t="str">
        <x:v>numero_ssa_relacionada_1</x:v>
      </x:c>
      <x:c r="B79" s="23" t="str">
        <x:v>SSA Rel. 1</x:v>
      </x:c>
      <x:c r="C79" s="23" t="str">
        <x:v>Text</x:v>
      </x:c>
      <x:c r="D79" s="23" t="str">
        <x:v>Sim</x:v>
      </x:c>
      <x:c r="E79" s="23" t="str">
        <x:v>Nao</x:v>
      </x:c>
      <x:c r="F79" s="23" t="str">
        <x:v>Sim</x:v>
      </x:c>
      <x:c r="G79" s="23" t="n">
        <x:v>1</x:v>
      </x:c>
      <x:c r="H79" s="23" t="n">
        <x:v>1</x:v>
      </x:c>
      <x:c r="I79" s="23" t="str">
        <x:v>Header ausente vira NULL no replace</x:v>
      </x:c>
    </x:row>
    <x:row r="80">
      <x:c r="A80" s="23" t="str">
        <x:v>numero_ssa_relacionada_2</x:v>
      </x:c>
      <x:c r="B80" s="23" t="str">
        <x:v>SSA Rel. 2</x:v>
      </x:c>
      <x:c r="C80" s="23" t="str">
        <x:v>Text</x:v>
      </x:c>
      <x:c r="D80" s="23" t="str">
        <x:v>Sim</x:v>
      </x:c>
      <x:c r="E80" s="23" t="str">
        <x:v>Nao</x:v>
      </x:c>
      <x:c r="F80" s="23" t="str">
        <x:v>Sim</x:v>
      </x:c>
      <x:c r="G80" s="23" t="n">
        <x:v>1</x:v>
      </x:c>
      <x:c r="H80" s="23" t="n">
        <x:v>1</x:v>
      </x:c>
      <x:c r="I80" s="23" t="str">
        <x:v>Header ausente vira NULL no replace</x:v>
      </x:c>
    </x:row>
    <x:row r="81">
      <x:c r="A81" s="23" t="str">
        <x:v>numero_ssa_relacionada_3</x:v>
      </x:c>
      <x:c r="B81" s="23" t="str">
        <x:v>SSA Rel. 3</x:v>
      </x:c>
      <x:c r="C81" s="23" t="str">
        <x:v>Text</x:v>
      </x:c>
      <x:c r="D81" s="23" t="str">
        <x:v>Sim</x:v>
      </x:c>
      <x:c r="E81" s="23" t="str">
        <x:v>Nao</x:v>
      </x:c>
      <x:c r="F81" s="23" t="str">
        <x:v>Sim</x:v>
      </x:c>
      <x:c r="G81" s="23" t="n">
        <x:v>0</x:v>
      </x:c>
      <x:c r="H81" s="23" t="n">
        <x:v>0</x:v>
      </x:c>
      <x:c r="I81" s="23" t="str">
        <x:v>Header ausente vira NULL no replace</x:v>
      </x:c>
    </x:row>
    <x:row r="82">
      <x:c r="A82" s="23" t="str">
        <x:v>setor_emissor_relacionado_1</x:v>
      </x:c>
      <x:c r="B82" s="23" t="str">
        <x:v>Setor Em. Rel. 1</x:v>
      </x:c>
      <x:c r="C82" s="23" t="str">
        <x:v>Text</x:v>
      </x:c>
      <x:c r="D82" s="23" t="str">
        <x:v>Sim</x:v>
      </x:c>
      <x:c r="E82" s="23" t="str">
        <x:v>Nao</x:v>
      </x:c>
      <x:c r="F82" s="23" t="str">
        <x:v>Sim</x:v>
      </x:c>
      <x:c r="G82" s="23" t="n">
        <x:v>1</x:v>
      </x:c>
      <x:c r="H82" s="23" t="n">
        <x:v>0</x:v>
      </x:c>
      <x:c r="I82" s="23" t="str">
        <x:v>Header ausente vira NULL no replace</x:v>
      </x:c>
    </x:row>
    <x:row r="83">
      <x:c r="A83" s="23" t="str">
        <x:v>setor_emissor_relacionado_2</x:v>
      </x:c>
      <x:c r="B83" s="23" t="str">
        <x:v>Setor Em. Rel. 2</x:v>
      </x:c>
      <x:c r="C83" s="23" t="str">
        <x:v>Text</x:v>
      </x:c>
      <x:c r="D83" s="23" t="str">
        <x:v>Sim</x:v>
      </x:c>
      <x:c r="E83" s="23" t="str">
        <x:v>Nao</x:v>
      </x:c>
      <x:c r="F83" s="23" t="str">
        <x:v>Sim</x:v>
      </x:c>
      <x:c r="G83" s="23" t="n">
        <x:v>1</x:v>
      </x:c>
      <x:c r="H83" s="23" t="n">
        <x:v>0</x:v>
      </x:c>
      <x:c r="I83" s="23" t="str">
        <x:v>Header ausente vira NULL no replace</x:v>
      </x:c>
    </x:row>
    <x:row r="84">
      <x:c r="A84" s="23" t="str">
        <x:v>setor_executor_relacionado_1</x:v>
      </x:c>
      <x:c r="B84" s="23" t="str">
        <x:v>Setor Ex. Rel. 1</x:v>
      </x:c>
      <x:c r="C84" s="23" t="str">
        <x:v>Text</x:v>
      </x:c>
      <x:c r="D84" s="23" t="str">
        <x:v>Sim</x:v>
      </x:c>
      <x:c r="E84" s="23" t="str">
        <x:v>Nao</x:v>
      </x:c>
      <x:c r="F84" s="23" t="str">
        <x:v>Sim</x:v>
      </x:c>
      <x:c r="G84" s="23" t="n">
        <x:v>1</x:v>
      </x:c>
      <x:c r="H84" s="23" t="n">
        <x:v>0</x:v>
      </x:c>
      <x:c r="I84" s="23" t="str">
        <x:v>Header ausente vira NULL no replace</x:v>
      </x:c>
    </x:row>
    <x:row r="85">
      <x:c r="A85" s="23" t="str">
        <x:v>setor_executor_relacionado_2</x:v>
      </x:c>
      <x:c r="B85" s="23" t="str">
        <x:v>Setor Ex. Rel. 2</x:v>
      </x:c>
      <x:c r="C85" s="23" t="str">
        <x:v>Text</x:v>
      </x:c>
      <x:c r="D85" s="23" t="str">
        <x:v>Sim</x:v>
      </x:c>
      <x:c r="E85" s="23" t="str">
        <x:v>Nao</x:v>
      </x:c>
      <x:c r="F85" s="23" t="str">
        <x:v>Sim</x:v>
      </x:c>
      <x:c r="G85" s="23" t="n">
        <x:v>1</x:v>
      </x:c>
      <x:c r="H85" s="23" t="n">
        <x:v>0</x:v>
      </x:c>
      <x:c r="I85" s="23" t="str">
        <x:v>Header ausente vira NULL no replace</x:v>
      </x:c>
    </x:row>
    <x:row r="86">
      <x:c r="A86" s="23" t="str">
        <x:v>situacao_relacionada_1</x:v>
      </x:c>
      <x:c r="B86" s="23" t="str">
        <x:v>Situacao Rel. 1</x:v>
      </x:c>
      <x:c r="C86" s="23" t="str">
        <x:v>Text</x:v>
      </x:c>
      <x:c r="D86" s="23" t="str">
        <x:v>Sim</x:v>
      </x:c>
      <x:c r="E86" s="23" t="str">
        <x:v>Nao</x:v>
      </x:c>
      <x:c r="F86" s="23" t="str">
        <x:v>Sim</x:v>
      </x:c>
      <x:c r="G86" s="23" t="n">
        <x:v>1</x:v>
      </x:c>
      <x:c r="H86" s="23" t="n">
        <x:v>1</x:v>
      </x:c>
      <x:c r="I86" s="23" t="str">
        <x:v>Header ausente vira NULL no replace</x:v>
      </x:c>
    </x:row>
    <x:row r="87">
      <x:c r="A87" s="23" t="str">
        <x:v>situacao_relacionada_2</x:v>
      </x:c>
      <x:c r="B87" s="23" t="str">
        <x:v>Situacao Rel. 2</x:v>
      </x:c>
      <x:c r="C87" s="23" t="str">
        <x:v>Text</x:v>
      </x:c>
      <x:c r="D87" s="23" t="str">
        <x:v>Sim</x:v>
      </x:c>
      <x:c r="E87" s="23" t="str">
        <x:v>Nao</x:v>
      </x:c>
      <x:c r="F87" s="23" t="str">
        <x:v>Sim</x:v>
      </x:c>
      <x:c r="G87" s="23" t="n">
        <x:v>1</x:v>
      </x:c>
      <x:c r="H87" s="23" t="n">
        <x:v>1</x:v>
      </x:c>
      <x:c r="I87" s="23" t="str">
        <x:v>Header ausente vira NULL no replace</x:v>
      </x:c>
    </x:row>
    <x:row r="88">
      <x:c r="A88" s="23" t="str">
        <x:v>relacao</x:v>
      </x:c>
      <x:c r="B88" s="23" t="str">
        <x:v>Relacao</x:v>
      </x:c>
      <x:c r="C88" s="23" t="str">
        <x:v>Text</x:v>
      </x:c>
      <x:c r="D88" s="23" t="str">
        <x:v>Sim</x:v>
      </x:c>
      <x:c r="E88" s="23" t="str">
        <x:v>Nao</x:v>
      </x:c>
      <x:c r="F88" s="23" t="str">
        <x:v>Sim</x:v>
      </x:c>
      <x:c r="G88" s="23" t="n">
        <x:v>1</x:v>
      </x:c>
      <x:c r="H88" s="23" t="n">
        <x:v>1</x:v>
      </x:c>
      <x:c r="I88" s="23" t="str">
        <x:v>Header ausente vira NULL no replace</x:v>
      </x:c>
    </x:row>
    <x:row r="89">
      <x:c r="A89" s="23" t="str">
        <x:v>data_arquivo_origem</x:v>
      </x:c>
      <x:c r="B89" s="23" t="str">
        <x:v>Data Arq. Origem</x:v>
      </x:c>
      <x:c r="C89" s="23" t="str">
        <x:v>DateText</x:v>
      </x:c>
      <x:c r="D89" s="23" t="str">
        <x:v>Sim</x:v>
      </x:c>
      <x:c r="E89" s="23" t="str">
        <x:v>Nao</x:v>
      </x:c>
      <x:c r="F89" s="23" t="str">
        <x:v>Nao</x:v>
      </x:c>
      <x:c r="G89" s="23" t="n">
        <x:v>0</x:v>
      </x:c>
      <x:c r="H89" s="23" t="n">
        <x:v>0</x:v>
      </x:c>
      <x:c r="I89" s="23" t="str">
        <x:v>Nao derivado; somente header reconhecido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279a3549ccf46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60" hidden="0" customWidth="1"/>
    <x:col min="5" max="5" width="34" hidden="0" customWidth="1"/>
  </x:cols>
  <x:sheetData>
    <x:row r="1" ht="28" customHeight="1">
      <x:c r="A1" s="3" t="str">
        <x:v>Familias reais de planilha</x:v>
      </x:c>
      <x:c r="B1" s="3"/>
      <x:c r="C1" s="3"/>
      <x:c r="D1" s="3"/>
      <x:c r="E1" s="3"/>
    </x:row>
    <x:row r="2" ht="34" customHeight="1">
      <x:c r="A2" s="6" t="str">
        <x:v>Cobertura observada nos arquivos locais, sem alterar seu conteudo.</x:v>
      </x:c>
      <x:c r="B2" s="6"/>
      <x:c r="C2" s="6"/>
      <x:c r="D2" s="6"/>
      <x:c r="E2" s="6"/>
    </x:row>
    <x:row r="4" ht="30" customHeight="1">
      <x:c r="A4" s="15" t="str">
        <x:v>Familia</x:v>
      </x:c>
      <x:c r="B4" s="16" t="str">
        <x:v>Campos basicos mapeados</x:v>
      </x:c>
      <x:c r="C4" s="16" t="str">
        <x:v>Reconhecido</x:v>
      </x:c>
      <x:c r="D4" s="16" t="str">
        <x:v>Descartado/ambiguo</x:v>
      </x:c>
      <x:c r="E4" s="17" t="str">
        <x:v>Impacto</x:v>
      </x:c>
    </x:row>
    <x:row r="5">
      <x:c r="A5" s="22" t="str">
        <x:v>Consulta/Pendentes</x:v>
      </x:c>
      <x:c r="B5" s="22" t="n">
        <x:v>22</x:v>
      </x:c>
      <x:c r="C5" s="22" t="str">
        <x:v>Campos basicos</x:v>
      </x:c>
      <x:c r="D5" s="22" t="str">
        <x:v>Campos especiais ausentes</x:v>
      </x:c>
      <x:c r="E5" s="22" t="str">
        <x:v>Replace destrutivo se parcial</x:v>
      </x:c>
    </x:row>
    <x:row r="6">
      <x:c r="A6" s="23" t="str">
        <x:v>Executadas</x:v>
      </x:c>
      <x:c r="B6" s="23" t="n">
        <x:v>23</x:v>
      </x:c>
      <x:c r="C6" s="23" t="str">
        <x:v>Campos basicos</x:v>
      </x:c>
      <x:c r="D6" s="23" t="str">
        <x:v>Reprogramacoes, parcial, prazo, TPE/TEX/TPO</x:v>
      </x:c>
      <x:c r="E6" s="23" t="str">
        <x:v>Perda de indicadores</x:v>
      </x:c>
    </x:row>
    <x:row r="7">
      <x:c r="A7" s="23" t="str">
        <x:v>Desvio</x:v>
      </x:c>
      <x:c r="B7" s="23" t="n">
        <x:v>24</x:v>
      </x:c>
      <x:c r="C7" s="23" t="str">
        <x:v>Campos basicos</x:v>
      </x:c>
      <x:c r="D7" s="23" t="str">
        <x:v>Prazo, desvios, tempos, data limite</x:v>
      </x:c>
      <x:c r="E7" s="23" t="str">
        <x:v>Perda de indicadores</x:v>
      </x:c>
    </x:row>
    <x:row r="8">
      <x:c r="A8" s="23" t="str">
        <x:v>Execucao parcial</x:v>
      </x:c>
      <x:c r="B8" s="23" t="n">
        <x:v>25</x:v>
      </x:c>
      <x:c r="C8" s="23" t="str">
        <x:v>Campos basicos</x:v>
      </x:c>
      <x:c r="D8" s="23" t="str">
        <x:v>Prazo, parcial, tempos; Desde/Ate repetidos</x:v>
      </x:c>
      <x:c r="E8" s="23" t="str">
        <x:v>Perda e colisao de header</x:v>
      </x:c>
    </x:row>
    <x:row r="9">
      <x:c r="A9" s="23" t="str">
        <x:v>Aprovacao cancelamento</x:v>
      </x:c>
      <x:c r="B9" s="23" t="n">
        <x:v>23</x:v>
      </x:c>
      <x:c r="C9" s="23" t="str">
        <x:v>Campos basicos</x:v>
      </x:c>
      <x:c r="D9" s="23" t="str">
        <x:v>Prazo, tempos, limite, reprobaciones</x:v>
      </x:c>
      <x:c r="E9" s="23" t="str">
        <x:v>Perda de indicadores</x:v>
      </x:c>
    </x:row>
    <x:row r="10">
      <x:c r="A10" s="23" t="str">
        <x:v>Planejamento</x:v>
      </x:c>
      <x:c r="B10" s="23" t="n">
        <x:v>23</x:v>
      </x:c>
      <x:c r="C10" s="23" t="str">
        <x:v>Campos basicos</x:v>
      </x:c>
      <x:c r="D10" s="23" t="str">
        <x:v>Prazo, TPE/TEX/TPO, horas, parcial</x:v>
      </x:c>
      <x:c r="E10" s="23" t="str">
        <x:v>Perda de indicadores</x:v>
      </x:c>
    </x:row>
    <x:row r="11">
      <x:c r="A11" s="23" t="str">
        <x:v>Derivadas/Relacionadas</x:v>
      </x:c>
      <x:c r="B11" s="23" t="n">
        <x:v>6</x:v>
      </x:c>
      <x:c r="C11" s="23" t="str">
        <x:v>Primeiras chaves unicas</x:v>
      </x:c>
      <x:c r="D11" s="23" t="str">
        <x:v>SSA, setores e situacoes repetidos</x:v>
      </x:c>
      <x:c r="E11" s="23" t="str">
        <x:v>Relacoes incompletas</x:v>
      </x:c>
    </x:row>
    <x:row r="12">
      <x:c r="A12" s="23" t="str">
        <x:v>SAM REST</x:v>
      </x:c>
      <x:c r="B12" s="23" t="n">
        <x:v>0</x:v>
      </x:c>
      <x:c r="C12" s="23" t="str">
        <x:v>Nenhum conjunto suficiente</x:v>
      </x:c>
      <x:c r="D12" s="23" t="str">
        <x:v>Todos os 11 headers</x:v>
      </x:c>
      <x:c r="E12" s="23" t="str">
        <x:v>Sucesso vazio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43696ea212744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2" hidden="0" customWidth="1"/>
    <x:col min="3" max="3" width="52" hidden="0" customWidth="1"/>
    <x:col min="4" max="4" width="52" hidden="0" customWidth="1"/>
  </x:cols>
  <x:sheetData>
    <x:row r="1" ht="28" customHeight="1">
      <x:c r="A1" s="3" t="str">
        <x:v>Contrato de update e merge</x:v>
      </x:c>
      <x:c r="B1" s="3"/>
      <x:c r="C1" s="3"/>
      <x:c r="D1" s="3"/>
    </x:row>
    <x:row r="2" ht="34" customHeight="1">
      <x:c r="A2" s="6" t="str">
        <x:v>Comparacao do comportamento real, sem assumir que o Python e livre de defeitos.</x:v>
      </x:c>
      <x:c r="B2" s="6"/>
      <x:c r="C2" s="6"/>
      <x:c r="D2" s="6"/>
    </x:row>
    <x:row r="4" ht="30" customHeight="1">
      <x:c r="A4" s="15" t="str">
        <x:v>Regra</x:v>
      </x:c>
      <x:c r="B4" s="16" t="str">
        <x:v>Python</x:v>
      </x:c>
      <x:c r="C4" s="16" t="str">
        <x:v>C++</x:v>
      </x:c>
      <x:c r="D4" s="17" t="str">
        <x:v>Direcao segura</x:v>
      </x:c>
    </x:row>
    <x:row r="5">
      <x:c r="A5" s="22" t="str">
        <x:v>Formato SSA normal</x:v>
      </x:c>
      <x:c r="B5" s="22" t="str">
        <x:v>Somente .xlsx</x:v>
      </x:c>
      <x:c r="C5" s="22" t="str">
        <x:v>.xls e .xlsx</x:v>
      </x:c>
      <x:c r="D5" s="22" t="str">
        <x:v>Remover dependencia nao requerida</x:v>
      </x:c>
    </x:row>
    <x:row r="6">
      <x:c r="A6" s="23" t="str">
        <x:v>Descoberta incremental</x:v>
      </x:c>
      <x:c r="B6" s="23" t="str">
        <x:v>Cache size/mtime/SHA</x:v>
      </x:c>
      <x:c r="C6" s="23" t="str">
        <x:v>Todos da raiz</x:v>
      </x:c>
      <x:c r="D6" s="23" t="str">
        <x:v>Processar somente novos/modificados</x:v>
      </x:c>
    </x:row>
    <x:row r="7">
      <x:c r="A7" s="23" t="str">
        <x:v>Ordem</x:v>
      </x:c>
      <x:c r="B7" s="23" t="str">
        <x:v>Snapshot antigo para novo</x:v>
      </x:c>
      <x:c r="C7" s="23" t="str">
        <x:v>Path lexicografico</x:v>
      </x:c>
      <x:c r="D7" s="23" t="str">
        <x:v>Usar data confiavel</x:v>
      </x:c>
    </x:row>
    <x:row r="8">
      <x:c r="A8" s="23" t="str">
        <x:v>Schema minimo</x:v>
      </x:c>
      <x:c r="B8" s="23" t="str">
        <x:v>numero+descricao+data</x:v>
      </x:c>
      <x:c r="C8" s="23" t="str">
        <x:v>3 mapeados com numero OU descricao</x:v>
      </x:c>
      <x:c r="D8" s="23" t="str">
        <x:v>Contrato deve ser congelado</x:v>
      </x:c>
    </x:row>
    <x:row r="9">
      <x:c r="A9" s="23" t="str">
        <x:v>Recencia</x:v>
      </x:c>
      <x:c r="B9" s="23" t="str">
        <x:v>data_planilha/origem/nome</x:v>
      </x:c>
      <x:c r="C9" s="23" t="str">
        <x:v>Nenhuma</x:v>
      </x:c>
      <x:c r="D9" s="23" t="str">
        <x:v>Bloquear snapshot antigo</x:v>
      </x:c>
    </x:row>
    <x:row r="10">
      <x:c r="A10" s="23" t="str">
        <x:v>Merge vazio</x:v>
      </x:c>
      <x:c r="B10" s="23" t="str">
        <x:v>Default preserva; complementary usa politica propria</x:v>
      </x:c>
      <x:c r="C10" s="23" t="str">
        <x:v>Vira NULL</x:v>
      </x:c>
      <x:c r="D10" s="23" t="str">
        <x:v>Merge nao destrutivo</x:v>
      </x:c>
    </x:row>
    <x:row r="11">
      <x:c r="A11" s="23" t="str">
        <x:v>STE/SCA</x:v>
      </x:c>
      <x:c r="B11" s="23" t="str">
        <x:v>Default bloqueia; complementary usa politica propria</x:v>
      </x:c>
      <x:c r="C11" s="23" t="str">
        <x:v>Sem protecao</x:v>
      </x:c>
      <x:c r="D11" s="23" t="str">
        <x:v>Definir enriquecimento sem downgrade</x:v>
      </x:c>
    </x:row>
    <x:row r="12">
      <x:c r="A12" s="23" t="str">
        <x:v>Mesmo estado</x:v>
      </x:c>
      <x:c r="B12" s="23" t="str">
        <x:v>Atualiza campos se snapshot elegivel</x:v>
      </x:c>
      <x:c r="C12" s="23" t="str">
        <x:v>Substitui linha se header reconhecido</x:v>
      </x:c>
      <x:c r="D12" s="23" t="str">
        <x:v>Atualizar somente recebidos</x:v>
      </x:c>
    </x:row>
    <x:row r="13">
      <x:c r="A13" s="23" t="str">
        <x:v>Duplicata no arquivo</x:v>
      </x:c>
      <x:c r="B13" s="23" t="str">
        <x:v>Warning + merge</x:v>
      </x:c>
      <x:c r="C13" s="23" t="str">
        <x:v>Ultima linha</x:v>
      </x:c>
      <x:c r="D13" s="23" t="str">
        <x:v>Relatar conflito</x:v>
      </x:c>
    </x:row>
    <x:row r="14">
      <x:c r="A14" s="23" t="str">
        <x:v>Duplicata entre arquivos</x:v>
      </x:c>
      <x:c r="B14" s="23" t="str">
        <x:v>Ordem temporal</x:v>
      </x:c>
      <x:c r="C14" s="23" t="str">
        <x:v>Ultimo path</x:v>
      </x:c>
      <x:c r="D14" s="23" t="str">
        <x:v>Resolver sobre lote</x:v>
      </x:c>
    </x:row>
    <x:row r="15">
      <x:c r="A15" s="23" t="str">
        <x:v>Full</x:v>
      </x:c>
      <x:c r="B15" s="23" t="str">
        <x:v>Banco candidato</x:v>
      </x:c>
      <x:c r="C15" s="23" t="str">
        <x:v>Transacao no alvo</x:v>
      </x:c>
      <x:c r="D15" s="23" t="str">
        <x:v>Preservar atomicidade</x:v>
      </x:c>
    </x:row>
    <x:row r="16">
      <x:c r="A16" s="23" t="str">
        <x:v>Header desconhecido incremental</x:v>
      </x:c>
      <x:c r="B16" s="23" t="str">
        <x:v>Rejeicao</x:v>
      </x:c>
      <x:c r="C16" s="23" t="str">
        <x:v>Sucesso vazio</x:v>
      </x:c>
      <x:c r="D16" s="23" t="str">
        <x:v>Falhar e manter fonte</x:v>
      </x:c>
    </x:row>
    <x:row r="17">
      <x:c r="A17" s="23" t="str">
        <x:v>Consolidacao</x:v>
      </x:c>
      <x:c r="B17" s="23" t="str">
        <x:v>Relatorio de mutacao impreciso</x:v>
      </x:c>
      <x:c r="C17" s="23" t="str">
        <x:v>Tem linhas vs sem linhas</x:v>
      </x:c>
      <x:c r="D17" s="23" t="str">
        <x:v>Usar mutacao real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edafd75eb8a41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46" hidden="0" customWidth="1"/>
  </x:cols>
  <x:sheetData>
    <x:row r="1" ht="28" customHeight="1">
      <x:c r="A1" s="3" t="str">
        <x:v>Contrato SAM REST</x:v>
      </x:c>
      <x:c r="B1" s="3"/>
      <x:c r="C1" s="3"/>
      <x:c r="D1" s="3"/>
    </x:row>
    <x:row r="2" ht="34" customHeight="1">
      <x:c r="A2" s="6" t="str">
        <x:v>Headers produzidos pelo scrap_report 83ca55f contra o mapper C++ 49bd348.</x:v>
      </x:c>
      <x:c r="B2" s="6"/>
      <x:c r="C2" s="6"/>
      <x:c r="D2" s="6"/>
    </x:row>
    <x:row r="4" ht="30" customHeight="1">
      <x:c r="A4" s="15" t="str">
        <x:v>Header scrap_report</x:v>
      </x:c>
      <x:c r="B4" s="16" t="str">
        <x:v>Destino Python</x:v>
      </x:c>
      <x:c r="C4" s="16" t="str">
        <x:v>Reconhecido C++</x:v>
      </x:c>
      <x:c r="D4" s="17" t="str">
        <x:v>Resultado</x:v>
      </x:c>
    </x:row>
    <x:row r="5">
      <x:c r="A5" s="22" t="str">
        <x:v>ssa_number</x:v>
      </x:c>
      <x:c r="B5" s="22" t="str">
        <x:v>numero_ssa</x:v>
      </x:c>
      <x:c r="C5" s="22" t="str">
        <x:v>Nao</x:v>
      </x:c>
      <x:c r="D5" s="22" t="str">
        <x:v>Header nao reconhecido</x:v>
      </x:c>
    </x:row>
    <x:row r="6">
      <x:c r="A6" s="23" t="str">
        <x:v>localization</x:v>
      </x:c>
      <x:c r="B6" s="23" t="str">
        <x:v>localizacao_codigo</x:v>
      </x:c>
      <x:c r="C6" s="23" t="str">
        <x:v>Nao</x:v>
      </x:c>
      <x:c r="D6" s="23" t="str">
        <x:v>Header nao reconhecido</x:v>
      </x:c>
    </x:row>
    <x:row r="7">
      <x:c r="A7" s="23" t="str">
        <x:v>description</x:v>
      </x:c>
      <x:c r="B7" s="23" t="str">
        <x:v>descricao_ssa</x:v>
      </x:c>
      <x:c r="C7" s="23" t="str">
        <x:v>Nao</x:v>
      </x:c>
      <x:c r="D7" s="23" t="str">
        <x:v>Header nao reconhecido</x:v>
      </x:c>
    </x:row>
    <x:row r="8">
      <x:c r="A8" s="23" t="str">
        <x:v>issue_datetime</x:v>
      </x:c>
      <x:c r="B8" s="23" t="str">
        <x:v>data_cadastro</x:v>
      </x:c>
      <x:c r="C8" s="23" t="str">
        <x:v>Nao</x:v>
      </x:c>
      <x:c r="D8" s="23" t="str">
        <x:v>Header nao reconhecido</x:v>
      </x:c>
    </x:row>
    <x:row r="9">
      <x:c r="A9" s="23" t="str">
        <x:v>emission_datetime</x:v>
      </x:c>
      <x:c r="B9" s="23" t="str">
        <x:v>data_cadastro</x:v>
      </x:c>
      <x:c r="C9" s="23" t="str">
        <x:v>Nao</x:v>
      </x:c>
      <x:c r="D9" s="23" t="str">
        <x:v>Header nao reconhecido</x:v>
      </x:c>
    </x:row>
    <x:row r="10">
      <x:c r="A10" s="23" t="str">
        <x:v>emitter_sector</x:v>
      </x:c>
      <x:c r="B10" s="23" t="str">
        <x:v>setor_emissor</x:v>
      </x:c>
      <x:c r="C10" s="23" t="str">
        <x:v>Nao</x:v>
      </x:c>
      <x:c r="D10" s="23" t="str">
        <x:v>Header nao reconhecido</x:v>
      </x:c>
    </x:row>
    <x:row r="11">
      <x:c r="A11" s="23" t="str">
        <x:v>executor_sector</x:v>
      </x:c>
      <x:c r="B11" s="23" t="str">
        <x:v>setor_executor</x:v>
      </x:c>
      <x:c r="C11" s="23" t="str">
        <x:v>Nao</x:v>
      </x:c>
      <x:c r="D11" s="23" t="str">
        <x:v>Header nao reconhecido</x:v>
      </x:c>
    </x:row>
    <x:row r="12">
      <x:c r="A12" s="23" t="str">
        <x:v>year_week</x:v>
      </x:c>
      <x:c r="B12" s="23" t="str">
        <x:v>semana_cadastro</x:v>
      </x:c>
      <x:c r="C12" s="23" t="str">
        <x:v>Nao</x:v>
      </x:c>
      <x:c r="D12" s="23" t="str">
        <x:v>Header nao reconhecido</x:v>
      </x:c>
    </x:row>
    <x:row r="13">
      <x:c r="A13" s="23" t="str">
        <x:v>situation_desc</x:v>
      </x:c>
      <x:c r="B13" s="23" t="str">
        <x:v>situacao</x:v>
      </x:c>
      <x:c r="C13" s="23" t="str">
        <x:v>Nao</x:v>
      </x:c>
      <x:c r="D13" s="23" t="str">
        <x:v>Header nao reconhecido</x:v>
      </x:c>
    </x:row>
    <x:row r="14">
      <x:c r="A14" s="23" t="str">
        <x:v>process_status</x:v>
      </x:c>
      <x:c r="B14" s="23" t="str">
        <x:v>situacao</x:v>
      </x:c>
      <x:c r="C14" s="23" t="str">
        <x:v>Nao</x:v>
      </x:c>
      <x:c r="D14" s="23" t="str">
        <x:v>Header nao reconhecido</x:v>
      </x:c>
    </x:row>
    <x:row r="15">
      <x:c r="A15" s="23" t="str">
        <x:v>detail_present</x:v>
      </x:c>
      <x:c r="B15" s="23" t="str">
        <x:v>sem coluna canonica</x:v>
      </x:c>
      <x:c r="C15" s="23" t="str">
        <x:v>Nao</x:v>
      </x:c>
      <x:c r="D15" s="23" t="str">
        <x:v>Sem destino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45dc16218324a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54" hidden="0" customWidth="1"/>
    <x:col min="4" max="4" width="40" hidden="0" customWidth="1"/>
  </x:cols>
  <x:sheetData>
    <x:row r="1" ht="28" customHeight="1">
      <x:c r="A1" s="3" t="str">
        <x:v>Derivadas e relacionadas</x:v>
      </x:c>
      <x:c r="B1" s="3"/>
      <x:c r="C1" s="3"/>
      <x:c r="D1" s="3"/>
    </x:row>
    <x:row r="2" ht="34" customHeight="1">
      <x:c r="A2" s="6" t="str">
        <x:v>O Python possui pipeline especial; o adapter C++ atual somente limpa referencias orfas.</x:v>
      </x:c>
      <x:c r="B2" s="6"/>
      <x:c r="C2" s="6"/>
      <x:c r="D2" s="6"/>
    </x:row>
    <x:row r="4" ht="30" customHeight="1">
      <x:c r="A4" s="15" t="str">
        <x:v>Area</x:v>
      </x:c>
      <x:c r="B4" s="16" t="str">
        <x:v>Python real</x:v>
      </x:c>
      <x:c r="C4" s="16" t="str">
        <x:v>C++ real</x:v>
      </x:c>
      <x:c r="D4" s="17" t="str">
        <x:v>Gap</x:v>
      </x:c>
    </x:row>
    <x:row r="5">
      <x:c r="A5" s="22" t="str">
        <x:v>Descoberta</x:v>
      </x:c>
      <x:c r="B5" s="22" t="str">
        <x:v>Arquivos especiais por nome; csv/txt/tsv/xlsx/xlsm/xls</x:v>
      </x:c>
      <x:c r="C5" s="22" t="str">
        <x:v>Nenhuma fonte externa</x:v>
      </x:c>
      <x:c r="D5" s="22" t="str">
        <x:v>Pipeline ausente</x:v>
      </x:c>
    </x:row>
    <x:row r="6">
      <x:c r="A6" s="23" t="str">
        <x:v>Ativacao</x:v>
      </x:c>
      <x:c r="B6" s="23" t="str">
        <x:v>Sync automatico tambem no incremental</x:v>
      </x:c>
      <x:c r="C6" s="23" t="str">
        <x:v>Comando explicito apenas</x:v>
      </x:c>
      <x:c r="D6" s="23" t="str">
        <x:v>Contratos diferentes</x:v>
      </x:c>
    </x:row>
    <x:row r="7">
      <x:c r="A7" s="23" t="str">
        <x:v>Abas</x:v>
      </x:c>
      <x:c r="B7" s="23" t="str">
        <x:v>Multi-sheet</x:v>
      </x:c>
      <x:c r="C7" s="23" t="str">
        <x:v>Nao le planilha especial</x:v>
      </x:c>
      <x:c r="D7" s="23" t="str">
        <x:v>Pipeline ausente</x:v>
      </x:c>
    </x:row>
    <x:row r="8">
      <x:c r="A8" s="23" t="str">
        <x:v>Headers repetidos</x:v>
      </x:c>
      <x:c r="B8" s="23" t="str">
        <x:v>Aliases contextuais e arestas</x:v>
      </x:c>
      <x:c r="C8" s="23" t="str">
        <x:v>Mapper conserva primeira ocorrencia</x:v>
      </x:c>
      <x:c r="D8" s="23" t="str">
        <x:v>Relacoes perdidas</x:v>
      </x:c>
    </x:row>
    <x:row r="9">
      <x:c r="A9" s="23" t="str">
        <x:v>Deduplicacao</x:v>
      </x:c>
      <x:c r="B9" s="23" t="str">
        <x:v>Arestas deduplicadas</x:v>
      </x:c>
      <x:c r="C9" s="23" t="str">
        <x:v>Nao aplicavel no adapter</x:v>
      </x:c>
      <x:c r="D9" s="23" t="str">
        <x:v>Paridade ausente</x:v>
      </x:c>
    </x:row>
    <x:row r="10">
      <x:c r="A10" s="23" t="str">
        <x:v>Integridade</x:v>
      </x:c>
      <x:c r="B10" s="23" t="str">
        <x:v>Scan e erro bloqueante sem evidencia</x:v>
      </x:c>
      <x:c r="C10" s="23" t="str">
        <x:v>Limpa derivada_de orfa</x:v>
      </x:c>
      <x:c r="D10" s="23" t="str">
        <x:v>Contratos diferentes</x:v>
      </x:c>
    </x:row>
    <x:row r="11">
      <x:c r="A11" s="23" t="str">
        <x:v>GUI</x:v>
      </x:c>
      <x:c r="B11" s="23" t="str">
        <x:v>Atualiza a partir das fontes</x:v>
      </x:c>
      <x:c r="C11" s="23" t="str">
        <x:v>Comando diz sync completed</x:v>
      </x:c>
      <x:c r="D11" s="23" t="str">
        <x:v>Mensagem superestima acao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38827950be143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24" hidden="0" customWidth="1"/>
    <x:col min="4" max="4" width="46" hidden="0" customWidth="1"/>
    <x:col min="5" max="5" width="22" hidden="0" customWidth="1"/>
  </x:cols>
  <x:sheetData>
    <x:row r="1" ht="28" customHeight="1">
      <x:c r="A1" s="3" t="str">
        <x:v>Cancelamento e atomicidade</x:v>
      </x:c>
      <x:c r="B1" s="3"/>
      <x:c r="C1" s="3"/>
      <x:c r="D1" s="3"/>
      <x:c r="E1" s="3"/>
    </x:row>
    <x:row r="2" ht="34" customHeight="1">
      <x:c r="A2" s="6" t="str">
        <x:v>Diferenca entre stop solicitado, terminal verdadeiro e efeito antes/depois do commit.</x:v>
      </x:c>
      <x:c r="B2" s="6"/>
      <x:c r="C2" s="6"/>
      <x:c r="D2" s="6"/>
      <x:c r="E2" s="6"/>
    </x:row>
    <x:row r="4" ht="30" customHeight="1">
      <x:c r="A4" s="15" t="str">
        <x:v>Etapa</x:v>
      </x:c>
      <x:c r="B4" s="16" t="str">
        <x:v>Plataforma</x:v>
      </x:c>
      <x:c r="C4" s="16" t="str">
        <x:v>Cancelamento interno</x:v>
      </x:c>
      <x:c r="D4" s="16" t="str">
        <x:v>Efeito</x:v>
      </x:c>
      <x:c r="E4" s="17" t="str">
        <x:v>Estado</x:v>
      </x:c>
    </x:row>
    <x:row r="5">
      <x:c r="A5" s="22" t="str">
        <x:v>Preflight</x:v>
      </x:c>
      <x:c r="B5" s="22" t="str">
        <x:v>C++</x:v>
      </x:c>
      <x:c r="C5" s="22" t="str">
        <x:v>Sim</x:v>
      </x:c>
      <x:c r="D5" s="22" t="str">
        <x:v>Antes de mutacao</x:v>
      </x:c>
      <x:c r="E5" s="22" t="str">
        <x:v>Correto</x:v>
      </x:c>
    </x:row>
    <x:row r="6">
      <x:c r="A6" s="23" t="str">
        <x:v>Copia externa</x:v>
      </x:c>
      <x:c r="B6" s="23" t="str">
        <x:v>C++</x:v>
      </x:c>
      <x:c r="C6" s="23" t="str">
        <x:v>Sim, por bloco</x:v>
      </x:c>
      <x:c r="D6" s="23" t="str">
        <x:v>Temporario removido</x:v>
      </x:c>
      <x:c r="E6" s="23" t="str">
        <x:v>Correto</x:v>
      </x:c>
    </x:row>
    <x:row r="7">
      <x:c r="A7" s="23" t="str">
        <x:v>Conversao XLS</x:v>
      </x:c>
      <x:c r="B7" s="23" t="str">
        <x:v>C++</x:v>
      </x:c>
      <x:c r="C7" s="23" t="str">
        <x:v>Sim, arvore de processo</x:v>
      </x:c>
      <x:c r="D7" s="23" t="str">
        <x:v>Termino confirmado</x:v>
      </x:c>
      <x:c r="E7" s="23" t="str">
        <x:v>Correto</x:v>
      </x:c>
    </x:row>
    <x:row r="8">
      <x:c r="A8" s="23" t="str">
        <x:v>Extracao ZIP</x:v>
      </x:c>
      <x:c r="B8" s="23" t="str">
        <x:v>C++</x:v>
      </x:c>
      <x:c r="C8" s="23" t="str">
        <x:v>Sim, callback</x:v>
      </x:c>
      <x:c r="D8" s="23" t="str">
        <x:v>Interrompe extracao</x:v>
      </x:c>
      <x:c r="E8" s="23" t="str">
        <x:v>Correto</x:v>
      </x:c>
    </x:row>
    <x:row r="9">
      <x:c r="A9" s="23" t="str">
        <x:v>Parser XML</x:v>
      </x:c>
      <x:c r="B9" s="23" t="str">
        <x:v>C++</x:v>
      </x:c>
      <x:c r="C9" s="23" t="str">
        <x:v>Sim, por token</x:v>
      </x:c>
      <x:c r="D9" s="23" t="str">
        <x:v>Interrompe parser</x:v>
      </x:c>
      <x:c r="E9" s="23" t="str">
        <x:v>Correto</x:v>
      </x:c>
    </x:row>
    <x:row r="10">
      <x:c r="A10" s="23" t="str">
        <x:v>Mapper</x:v>
      </x:c>
      <x:c r="B10" s="23" t="str">
        <x:v>C++</x:v>
      </x:c>
      <x:c r="C10" s="23" t="str">
        <x:v>Nao interno</x:v>
      </x:c>
      <x:c r="D10" s="23" t="str">
        <x:v>Espera loop terminar</x:v>
      </x:c>
      <x:c r="E10" s="23" t="str">
        <x:v>Lacuna media</x:v>
      </x:c>
    </x:row>
    <x:row r="11">
      <x:c r="A11" s="23" t="str">
        <x:v>Conflict resolver</x:v>
      </x:c>
      <x:c r="B11" s="23" t="str">
        <x:v>C++</x:v>
      </x:c>
      <x:c r="C11" s="23" t="str">
        <x:v>Nao interno</x:v>
      </x:c>
      <x:c r="D11" s="23" t="str">
        <x:v>Espera loop terminar</x:v>
      </x:c>
      <x:c r="E11" s="23" t="str">
        <x:v>Lacuna media</x:v>
      </x:c>
    </x:row>
    <x:row r="12">
      <x:c r="A12" s="23" t="str">
        <x:v>SQLite antes commit</x:v>
      </x:c>
      <x:c r="B12" s="23" t="str">
        <x:v>C++</x:v>
      </x:c>
      <x:c r="C12" s="23" t="str">
        <x:v>Sim</x:v>
      </x:c>
      <x:c r="D12" s="23" t="str">
        <x:v>Rollback</x:v>
      </x:c>
      <x:c r="E12" s="23" t="str">
        <x:v>Correto</x:v>
      </x:c>
    </x:row>
    <x:row r="13">
      <x:c r="A13" s="23" t="str">
        <x:v>Consolidacao pos-commit</x:v>
      </x:c>
      <x:c r="B13" s="23" t="str">
        <x:v>C++</x:v>
      </x:c>
      <x:c r="C13" s="23" t="str">
        <x:v>Sim</x:v>
      </x:c>
      <x:c r="D13" s="23" t="str">
        <x:v>Succeeded warning</x:v>
      </x:c>
      <x:c r="E13" s="23" t="str">
        <x:v>Correto</x:v>
      </x:c>
    </x:row>
    <x:row r="14">
      <x:c r="A14" s="23" t="str">
        <x:v>Parse sheet</x:v>
      </x:c>
      <x:c r="B14" s="23" t="str">
        <x:v>Python</x:v>
      </x:c>
      <x:c r="C14" s="23" t="str">
        <x:v>Nao interno</x:v>
      </x:c>
      <x:c r="D14" s="23" t="str">
        <x:v>Espera pandas</x:v>
      </x:c>
      <x:c r="E14" s="23" t="str">
        <x:v>Lacuna alta</x:v>
      </x:c>
    </x:row>
    <x:row r="15">
      <x:c r="A15" s="23" t="str">
        <x:v>Upsert SQLite</x:v>
      </x:c>
      <x:c r="B15" s="23" t="str">
        <x:v>Python</x:v>
      </x:c>
      <x:c r="C15" s="23" t="str">
        <x:v>Nao interno</x:v>
      </x:c>
      <x:c r="D15" s="23" t="str">
        <x:v>Commit por arquivo</x:v>
      </x:c>
      <x:c r="E15" s="23" t="str">
        <x:v>Lacuna alta</x:v>
      </x:c>
    </x:row>
    <x:row r="16">
      <x:c r="A16" s="23" t="str">
        <x:v>Hash/copia</x:v>
      </x:c>
      <x:c r="B16" s="23" t="str">
        <x:v>Python</x:v>
      </x:c>
      <x:c r="C16" s="23" t="str">
        <x:v>Nao interno</x:v>
      </x:c>
      <x:c r="D16" s="23" t="str">
        <x:v>Espera I/O</x:v>
      </x:c>
      <x:c r="E16" s="23" t="str">
        <x:v>Lacuna alta</x:v>
      </x:c>
    </x:row>
    <x:row r="17">
      <x:c r="A17" s="23" t="str">
        <x:v>Derivadas</x:v>
      </x:c>
      <x:c r="B17" s="23" t="str">
        <x:v>Python</x:v>
      </x:c>
      <x:c r="C17" s="23" t="str">
        <x:v>Nao interno</x:v>
      </x:c>
      <x:c r="D17" s="23" t="str">
        <x:v>Espera processamento</x:v>
      </x:c>
      <x:c r="E17" s="23" t="str">
        <x:v>Lacuna alta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771fae4eae0498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52" hidden="0" customWidth="1"/>
  </x:cols>
  <x:sheetData>
    <x:row r="1" ht="28" customHeight="1">
      <x:c r="A1" s="3" t="str">
        <x:v>Cobertura de testes</x:v>
      </x:c>
      <x:c r="B1" s="3"/>
      <x:c r="C1" s="3"/>
      <x:c r="D1" s="3"/>
    </x:row>
    <x:row r="2" ht="34" customHeight="1">
      <x:c r="A2" s="6" t="str">
        <x:v>34/34 testes C++ e 8/8 Python focados passaram; gaps semanticos permanecem.</x:v>
      </x:c>
      <x:c r="B2" s="6"/>
      <x:c r="C2" s="6"/>
      <x:c r="D2" s="6"/>
    </x:row>
    <x:row r="4" ht="30" customHeight="1">
      <x:c r="A4" s="15" t="str">
        <x:v>Contrato</x:v>
      </x:c>
      <x:c r="B4" s="16" t="str">
        <x:v>C++</x:v>
      </x:c>
      <x:c r="C4" s="16" t="str">
        <x:v>Python</x:v>
      </x:c>
      <x:c r="D4" s="17" t="str">
        <x:v>Lacuna</x:v>
      </x:c>
    </x:row>
    <x:row r="5">
      <x:c r="A5" s="22" t="str">
        <x:v>Rollback/cancel SQLite</x:v>
      </x:c>
      <x:c r="B5" s="22" t="str">
        <x:v>Coberto</x:v>
      </x:c>
      <x:c r="C5" s="22" t="str">
        <x:v>Parcial</x:v>
      </x:c>
      <x:c r="D5" s="22" t="str">
        <x:v>C++ forte</x:v>
      </x:c>
    </x:row>
    <x:row r="6">
      <x:c r="A6" s="23" t="str">
        <x:v>Copia/staging atomico</x:v>
      </x:c>
      <x:c r="B6" s="23" t="str">
        <x:v>Coberto</x:v>
      </x:c>
      <x:c r="C6" s="23" t="str">
        <x:v>Parcial</x:v>
      </x:c>
      <x:c r="D6" s="23" t="str">
        <x:v>Preservar C++</x:v>
      </x:c>
    </x:row>
    <x:row r="7">
      <x:c r="A7" s="23" t="str">
        <x:v>Full invalido preserva DB</x:v>
      </x:c>
      <x:c r="B7" s="23" t="str">
        <x:v>Coberto</x:v>
      </x:c>
      <x:c r="C7" s="23" t="str">
        <x:v>Falha total coberta</x:v>
      </x:c>
      <x:c r="D7" s="23" t="str">
        <x:v>Full misto Python ausente</x:v>
      </x:c>
    </x:row>
    <x:row r="8">
      <x:c r="A8" s="23" t="str">
        <x:v>Merge de planilha parcial</x:v>
      </x:c>
      <x:c r="B8" s="23" t="str">
        <x:v>Nao</x:v>
      </x:c>
      <x:c r="C8" s="23" t="str">
        <x:v>Unitario</x:v>
      </x:c>
      <x:c r="D8" s="23" t="str">
        <x:v>E2E ausente</x:v>
      </x:c>
    </x:row>
    <x:row r="9">
      <x:c r="A9" s="23" t="str">
        <x:v>Snapshot antigo/downgrade</x:v>
      </x:c>
      <x:c r="B9" s="23" t="str">
        <x:v>Nao</x:v>
      </x:c>
      <x:c r="C9" s="23" t="str">
        <x:v>Unitario</x:v>
      </x:c>
      <x:c r="D9" s="23" t="str">
        <x:v>C++ ausente</x:v>
      </x:c>
    </x:row>
    <x:row r="10">
      <x:c r="A10" s="23" t="str">
        <x:v>STE/SCA</x:v>
      </x:c>
      <x:c r="B10" s="23" t="str">
        <x:v>Nao</x:v>
      </x:c>
      <x:c r="C10" s="23" t="str">
        <x:v>Unitario</x:v>
      </x:c>
      <x:c r="D10" s="23" t="str">
        <x:v>Enriquecimento indefinido</x:v>
      </x:c>
    </x:row>
    <x:row r="11">
      <x:c r="A11" s="23" t="str">
        <x:v>184 aliases</x:v>
      </x:c>
      <x:c r="B11" s="23" t="str">
        <x:v>Nao</x:v>
      </x:c>
      <x:c r="C11" s="23" t="str">
        <x:v>Parcial</x:v>
      </x:c>
      <x:c r="D11" s="23" t="str">
        <x:v>Matriz completa ausente</x:v>
      </x:c>
    </x:row>
    <x:row r="12">
      <x:c r="A12" s="23" t="str">
        <x:v>Header duplicado</x:v>
      </x:c>
      <x:c r="B12" s="23" t="str">
        <x:v>Nao</x:v>
      </x:c>
      <x:c r="C12" s="23" t="str">
        <x:v>Parcial</x:v>
      </x:c>
      <x:c r="D12" s="23" t="str">
        <x:v>Fixture real ausente</x:v>
      </x:c>
    </x:row>
    <x:row r="13">
      <x:c r="A13" s="23" t="str">
        <x:v>Multisheet</x:v>
      </x:c>
      <x:c r="B13" s="23" t="str">
        <x:v>Nao</x:v>
      </x:c>
      <x:c r="C13" s="23" t="str">
        <x:v>Parcial</x:v>
      </x:c>
      <x:c r="D13" s="23" t="str">
        <x:v>C++ ausente</x:v>
      </x:c>
    </x:row>
    <x:row r="14">
      <x:c r="A14" s="23" t="str">
        <x:v>SAM real ate SQLite</x:v>
      </x:c>
      <x:c r="B14" s="23" t="str">
        <x:v>Nao</x:v>
      </x:c>
      <x:c r="C14" s="23" t="str">
        <x:v>Nao</x:v>
      </x:c>
      <x:c r="D14" s="23" t="str">
        <x:v>Critico</x:v>
      </x:c>
    </x:row>
    <x:row r="15">
      <x:c r="A15" s="23" t="str">
        <x:v>Indicadores sem mudar estado</x:v>
      </x:c>
      <x:c r="B15" s="23" t="str">
        <x:v>Nao</x:v>
      </x:c>
      <x:c r="C15" s="23" t="str">
        <x:v>Nao E2E</x:v>
      </x:c>
      <x:c r="D15" s="23" t="str">
        <x:v>Critico</x:v>
      </x:c>
    </x:row>
    <x:row r="16">
      <x:c r="A16" s="23" t="str">
        <x:v>&gt;64 arquivos reais</x:v>
      </x:c>
      <x:c r="B16" s="23" t="str">
        <x:v>Limite unitario</x:v>
      </x:c>
      <x:c r="C16" s="23" t="str">
        <x:v>N/A</x:v>
      </x:c>
      <x:c r="D16" s="23" t="str">
        <x:v>Politica inviavel</x:v>
      </x:c>
    </x:row>
    <x:row r="17">
      <x:c r="A17" s="23" t="str">
        <x:v>Concorrencia entre instancias</x:v>
      </x:c>
      <x:c r="B17" s="23" t="str">
        <x:v>Nao</x:v>
      </x:c>
      <x:c r="C17" s="23" t="str">
        <x:v>Nao</x:v>
      </x:c>
      <x:c r="D17" s="23" t="str">
        <x:v>Risco residual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76432f3029c4d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6" hidden="0" customWidth="1"/>
    <x:col min="3" max="3" width="64" hidden="0" customWidth="1"/>
    <x:col min="4" max="4" width="22" hidden="0" customWidth="1"/>
  </x:cols>
  <x:sheetData>
    <x:row r="1" ht="28" customHeight="1">
      <x:c r="A1" s="3" t="str">
        <x:v>Documentacao contra runtime</x:v>
      </x:c>
      <x:c r="B1" s="3"/>
      <x:c r="C1" s="3"/>
      <x:c r="D1" s="3"/>
    </x:row>
    <x:row r="2" ht="34" customHeight="1">
      <x:c r="A2" s="6" t="str">
        <x:v>Alegacoes documentais nao sao tratadas como prova de implementacao.</x:v>
      </x:c>
      <x:c r="B2" s="6"/>
      <x:c r="C2" s="6"/>
      <x:c r="D2" s="6"/>
    </x:row>
    <x:row r="4" ht="30" customHeight="1">
      <x:c r="A4" s="15" t="str">
        <x:v>Documento</x:v>
      </x:c>
      <x:c r="B4" s="16" t="str">
        <x:v>Alegacao</x:v>
      </x:c>
      <x:c r="C4" s="16" t="str">
        <x:v>Runtime</x:v>
      </x:c>
      <x:c r="D4" s="17" t="str">
        <x:v>Classificacao</x:v>
      </x:c>
    </x:row>
    <x:row r="5">
      <x:c r="A5" s="22" t="str">
        <x:v>functional-coverage.md</x:v>
      </x:c>
      <x:c r="B5" s="22" t="str">
        <x:v>Import/rescan/consolidacao Present</x:v>
      </x:c>
      <x:c r="C5" s="22" t="str">
        <x:v>Mecanismo sem recencia, merge e aliases</x:v>
      </x:c>
      <x:c r="D5" s="22" t="str">
        <x:v>Superestimada</x:v>
      </x:c>
    </x:row>
    <x:row r="6">
      <x:c r="A6" s="23" t="str">
        <x:v>functional-coverage.md</x:v>
      </x:c>
      <x:c r="B6" s="23" t="str">
        <x:v>SAM REST Present</x:v>
      </x:c>
      <x:c r="C6" s="23" t="str">
        <x:v>Fetch existe; XLSX real nao importa</x:v>
      </x:c>
      <x:c r="D6" s="23" t="str">
        <x:v>Falsa</x:v>
      </x:c>
    </x:row>
    <x:row r="7">
      <x:c r="A7" s="23" t="str">
        <x:v>gui-behavior.md</x:v>
      </x:c>
      <x:c r="B7" s="23" t="str">
        <x:v>Artefato fresco e import otimizado</x:v>
      </x:c>
      <x:c r="C7" s="23" t="str">
        <x:v>Fresco e temporario; optimized ignorado</x:v>
      </x:c>
      <x:c r="D7" s="23" t="str">
        <x:v>Falsa</x:v>
      </x:c>
    </x:row>
    <x:row r="8">
      <x:c r="A8" s="23" t="str">
        <x:v>gui-behavior.md</x:v>
      </x:c>
      <x:c r="B8" s="23" t="str">
        <x:v>Unknown fica na entrada</x:v>
      </x:c>
      <x:c r="C8" s="23" t="str">
        <x:v>Incremental move para nosurvivor</x:v>
      </x:c>
      <x:c r="D8" s="23" t="str">
        <x:v>Falsa</x:v>
      </x:c>
    </x:row>
    <x:row r="9">
      <x:c r="A9" s="23" t="str">
        <x:v>release-notes-v0.9.2.md</x:v>
      </x:c>
      <x:c r="B9" s="23" t="str">
        <x:v>Lote completo importado</x:v>
      </x:c>
      <x:c r="C9" s="23" t="str">
        <x:v>Lote vazio pode ser Succeeded</x:v>
      </x:c>
      <x:c r="D9" s="23" t="str">
        <x:v>Falsa</x:v>
      </x:c>
    </x:row>
    <x:row r="10">
      <x:c r="A10" s="23" t="str">
        <x:v>roadmap.md</x:v>
      </x:c>
      <x:c r="B10" s="23" t="str">
        <x:v>Import/rescan done</x:v>
      </x:c>
      <x:c r="C10" s="23" t="str">
        <x:v>Paridade essencial ausente</x:v>
      </x:c>
      <x:c r="D10" s="23" t="str">
        <x:v>Superestimada</x:v>
      </x:c>
    </x:row>
    <x:row r="11">
      <x:c r="A11" s="23" t="str">
        <x:v>roadmap.md</x:v>
      </x:c>
      <x:c r="B11" s="23" t="str">
        <x:v>Sync derivadas complete</x:v>
      </x:c>
      <x:c r="C11" s="23" t="str">
        <x:v>Adapter so limpa orfaos</x:v>
      </x:c>
      <x:c r="D11" s="23" t="str">
        <x:v>Falsa</x:v>
      </x:c>
    </x:row>
    <x:row r="12">
      <x:c r="A12" s="23" t="str">
        <x:v>slice6_stability_closure.md</x:v>
      </x:c>
      <x:c r="B12" s="23" t="str">
        <x:v>Sync completa pendente</x:v>
      </x:c>
      <x:c r="C12" s="23" t="str">
        <x:v>Coerente com runtime</x:v>
      </x:c>
      <x:c r="D12" s="23" t="str">
        <x:v>Verdadeira</x:v>
      </x:c>
    </x:row>
    <x:row r="13">
      <x:c r="A13" s="23" t="str">
        <x:v>sqlite-atomicity.md</x:v>
      </x:c>
      <x:c r="B13" s="23" t="str">
        <x:v>Transacao e rollback atomicos</x:v>
      </x:c>
      <x:c r="C13" s="23" t="str">
        <x:v>Confirmado</x:v>
      </x:c>
      <x:c r="D13" s="23" t="str">
        <x:v>Verdadeira</x:v>
      </x:c>
    </x:row>
    <x:row r="14">
      <x:c r="A14" s="23" t="str">
        <x:v>Python README</x:v>
      </x:c>
      <x:c r="B14" s="23" t="str">
        <x:v>Robust importer e canonico</x:v>
      </x:c>
      <x:c r="C14" s="23" t="str">
        <x:v>Runtime usa extractor diferente</x:v>
      </x:c>
      <x:c r="D14" s="23" t="str">
        <x:v>Falsa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e4b2bfb6ae14d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64" hidden="0" customWidth="1"/>
    <x:col min="5" max="5" width="60" hidden="0" customWidth="1"/>
  </x:cols>
  <x:sheetData>
    <x:row r="1" ht="28" customHeight="1">
      <x:c r="A1" s="3" t="str">
        <x:v>Linhagem das decisoes</x:v>
      </x:c>
      <x:c r="B1" s="3"/>
      <x:c r="C1" s="3"/>
      <x:c r="D1" s="3"/>
      <x:c r="E1" s="3"/>
    </x:row>
    <x:row r="2" ht="34" customHeight="1">
      <x:c r="A2" s="6" t="str">
        <x:v>Responsabilidade operacional do Codex separada da identidade local registrada pelo Git.</x:v>
      </x:c>
      <x:c r="B2" s="6"/>
      <x:c r="C2" s="6"/>
      <x:c r="D2" s="6"/>
      <x:c r="E2" s="6"/>
    </x:row>
    <x:row r="4" ht="30" customHeight="1">
      <x:c r="A4" s="15" t="str">
        <x:v>Data</x:v>
      </x:c>
      <x:c r="B4" s="16" t="str">
        <x:v>Commit</x:v>
      </x:c>
      <x:c r="C4" s="16" t="str">
        <x:v>Autor/agente</x:v>
      </x:c>
      <x:c r="D4" s="16" t="str">
        <x:v>Mudanca</x:v>
      </x:c>
      <x:c r="E4" s="17" t="str">
        <x:v>Observacao</x:v>
      </x:c>
    </x:row>
    <x:row r="5">
      <x:c r="A5" s="22" t="str">
        <x:v>2026-05-23</x:v>
      </x:c>
      <x:c r="B5" s="22" t="str">
        <x:v>b83bd88</x:v>
      </x:c>
      <x:c r="C5" s="22" t="str">
        <x:v>Codex (execucao); Mauricio (Git)</x:v>
      </x:c>
      <x:c r="D5" s="22" t="str">
        <x:v>Introduz importador C++, leitor XLSX, LibreOffice e writer em commit de 90 arquivos</x:v>
      </x:c>
      <x:c r="E5" s="22" t="str">
        <x:v>Git: Mauricio author/committer; Codex coautor. Sem requisito para LibreOffice</x:v>
      </x:c>
    </x:row>
    <x:row r="6">
      <x:c r="A6" s="23" t="str">
        <x:v>2026-05-28</x:v>
      </x:c>
      <x:c r="B6" s="23" t="str">
        <x:v>c87fe89</x:v>
      </x:c>
      <x:c r="C6" s="23" t="str">
        <x:v>Codex</x:v>
      </x:c>
      <x:c r="D6" s="23" t="str">
        <x:v>Habilita caminho syncDerivadas</x:v>
      </x:c>
      <x:c r="E6" s="23" t="str">
        <x:v>Adapter de limpeza tratado como sincronizacao</x:v>
      </x:c>
    </x:row>
    <x:row r="7">
      <x:c r="A7" s="23" t="str">
        <x:v>2026-06-27</x:v>
      </x:c>
      <x:c r="B7" s="23" t="str">
        <x:v>cb5f916</x:v>
      </x:c>
      <x:c r="C7" s="23" t="str">
        <x:v>Codex</x:v>
      </x:c>
      <x:c r="D7" s="23" t="str">
        <x:v>Refatora parser XLSX</x:v>
      </x:c>
      <x:c r="E7" s="23" t="str">
        <x:v>Mantem primeira aba e sem styles</x:v>
      </x:c>
    </x:row>
    <x:row r="8">
      <x:c r="A8" s="23" t="str">
        <x:v>2026-07-13</x:v>
      </x:c>
      <x:c r="B8" s="23" t="str">
        <x:v>cb76f40</x:v>
      </x:c>
      <x:c r="C8" s="23" t="str">
        <x:v>Codex</x:v>
      </x:c>
      <x:c r="D8" s="23" t="str">
        <x:v>Consolidacao pos-commit</x:v>
      </x:c>
      <x:c r="E8" s="23" t="str">
        <x:v>Mecanismo atomico, classificacao semantica fraca</x:v>
      </x:c>
    </x:row>
    <x:row r="9">
      <x:c r="A9" s="23" t="str">
        <x:v>2026-07-13</x:v>
      </x:c>
      <x:c r="B9" s="23" t="str">
        <x:v>b713739</x:v>
      </x:c>
      <x:c r="C9" s="23" t="str">
        <x:v>Codex</x:v>
      </x:c>
      <x:c r="D9" s="23" t="str">
        <x:v>SAM REST refresh</x:v>
      </x:c>
      <x:c r="E9" s="23" t="str">
        <x:v>Sem E2E com mapper/SQLite real</x:v>
      </x:c>
    </x:row>
    <x:row r="10">
      <x:c r="A10" s="23" t="str">
        <x:v>2026-07-13</x:v>
      </x:c>
      <x:c r="B10" s="23" t="str">
        <x:v>e323e8f</x:v>
      </x:c>
      <x:c r="C10" s="23" t="str">
        <x:v>Codex</x:v>
      </x:c>
      <x:c r="D10" s="23" t="str">
        <x:v>Atomicidade SQLite e cancelamento</x:v>
      </x:c>
      <x:c r="E10" s="23" t="str">
        <x:v>Correcao valida a preservar</x:v>
      </x:c>
    </x:row>
    <x:row r="11">
      <x:c r="A11" s="23" t="str">
        <x:v>2026-07-14</x:v>
      </x:c>
      <x:c r="B11" s="23" t="str">
        <x:v>b93a430</x:v>
      </x:c>
      <x:c r="C11" s="23" t="str">
        <x:v>Codex</x:v>
      </x:c>
      <x:c r="D11" s="23" t="str">
        <x:v>Diagnostico LibreOffice</x:v>
      </x:c>
      <x:c r="E11" s="23" t="str">
        <x:v>Corrige teste, nao questiona requisito</x:v>
      </x:c>
    </x:row>
    <x:row r="12">
      <x:c r="A12" s="23" t="str">
        <x:v>2026-07-14</x:v>
      </x:c>
      <x:c r="B12" s="23" t="str">
        <x:v>b04e50a</x:v>
      </x:c>
      <x:c r="C12" s="23" t="str">
        <x:v>Codex</x:v>
      </x:c>
      <x:c r="D12" s="23" t="str">
        <x:v>Full invalido preserva DB</x:v>
      </x:c>
      <x:c r="E12" s="23" t="str">
        <x:v>Remove risco antigo de wipe por header</x:v>
      </x:c>
    </x:row>
    <x:row r="13">
      <x:c r="A13" s="23" t="str">
        <x:v>2026-07-14</x:v>
      </x:c>
      <x:c r="B13" s="23" t="str">
        <x:v>49bd348</x:v>
      </x:c>
      <x:c r="C13" s="23" t="str">
        <x:v>Codex</x:v>
      </x:c>
      <x:c r="D13" s="23" t="str">
        <x:v>v0.9.5</x:v>
      </x:c>
      <x:c r="E13" s="23" t="str">
        <x:v>Baseline desta auditoria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6c85e719eba47a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54" hidden="0" customWidth="1"/>
    <x:col min="4" max="4" width="16" hidden="0" customWidth="1"/>
    <x:col min="5" max="5" width="46" hidden="0" customWidth="1"/>
  </x:cols>
  <x:sheetData>
    <x:row r="1" ht="28" customHeight="1">
      <x:c r="A1" s="3" t="str">
        <x:v>Ordem recomendada de recuperacao</x:v>
      </x:c>
      <x:c r="B1" s="3"/>
      <x:c r="C1" s="3"/>
      <x:c r="D1" s="3"/>
      <x:c r="E1" s="3"/>
    </x:row>
    <x:row r="2" ht="34" customHeight="1">
      <x:c r="A2" s="6" t="str">
        <x:v>Backlog proposto; nenhuma correcao foi aplicada nesta auditoria.</x:v>
      </x:c>
      <x:c r="B2" s="6"/>
      <x:c r="C2" s="6"/>
      <x:c r="D2" s="6"/>
      <x:c r="E2" s="6"/>
    </x:row>
    <x:row r="4" ht="30" customHeight="1">
      <x:c r="A4" s="15" t="str">
        <x:v>Ordem</x:v>
      </x:c>
      <x:c r="B4" s="16" t="str">
        <x:v>Acao</x:v>
      </x:c>
      <x:c r="C4" s="16" t="str">
        <x:v>Objetivo</x:v>
      </x:c>
      <x:c r="D4" s="16" t="str">
        <x:v>Prioridade</x:v>
      </x:c>
      <x:c r="E4" s="17" t="str">
        <x:v>Gate de aceite</x:v>
      </x:c>
    </x:row>
    <x:row r="5">
      <x:c r="A5" s="22" t="n">
        <x:v>1</x:v>
      </x:c>
      <x:c r="B5" s="22" t="str">
        <x:v>Bloquear sucesso vazio e SAM incompativel</x:v>
      </x:c>
      <x:c r="C5" s="22" t="str">
        <x:v>Impede falso positivo e descarte</x:v>
      </x:c>
      <x:c r="D5" s="22" t="str">
        <x:v>Critica</x:v>
      </x:c>
      <x:c r="E5" s="22" t="str">
        <x:v>Teste SAM real ate SQLite</x:v>
      </x:c>
    </x:row>
    <x:row r="6">
      <x:c r="A6" s="23" t="n">
        <x:v>2</x:v>
      </x:c>
      <x:c r="B6" s="23" t="str">
        <x:v>Congelar validade, recencia, merge e terminais</x:v>
      </x:c>
      <x:c r="C6" s="23" t="str">
        <x:v>Evita copiar defeitos Python</x:v>
      </x:c>
      <x:c r="D6" s="23" t="str">
        <x:v>Critica</x:v>
      </x:c>
      <x:c r="E6" s="23" t="str">
        <x:v>Contrato aprovado</x:v>
      </x:c>
    </x:row>
    <x:row r="7">
      <x:c r="A7" s="23" t="n">
        <x:v>3</x:v>
      </x:c>
      <x:c r="B7" s="23" t="str">
        <x:v>Criar fixtures por familia real</x:v>
      </x:c>
      <x:c r="C7" s="23" t="str">
        <x:v>Torna gaps reproduziveis</x:v>
      </x:c>
      <x:c r="D7" s="23" t="str">
        <x:v>Critica</x:v>
      </x:c>
      <x:c r="E7" s="23" t="str">
        <x:v>Testes RED</x:v>
      </x:c>
    </x:row>
    <x:row r="8">
      <x:c r="A8" s="23" t="n">
        <x:v>4</x:v>
      </x:c>
      <x:c r="B8" s="23" t="str">
        <x:v>Unificar aliases e suportar abas necessarias</x:v>
      </x:c>
      <x:c r="C8" s="23" t="str">
        <x:v>Recupera campos especiais</x:v>
      </x:c>
      <x:c r="D8" s="23" t="str">
        <x:v>Critica</x:v>
      </x:c>
      <x:c r="E8" s="23" t="str">
        <x:v>184 aliases classificados</x:v>
      </x:c>
    </x:row>
    <x:row r="9">
      <x:c r="A9" s="23" t="n">
        <x:v>5</x:v>
      </x:c>
      <x:c r="B9" s="23" t="str">
        <x:v>Trocar delete-insert por merge nao destrutivo</x:v>
      </x:c>
      <x:c r="C9" s="23" t="str">
        <x:v>Preserva campos ausentes</x:v>
      </x:c>
      <x:c r="D9" s="23" t="str">
        <x:v>Critica</x:v>
      </x:c>
      <x:c r="E9" s="23" t="str">
        <x:v>Sparse update E2E</x:v>
      </x:c>
    </x:row>
    <x:row r="10">
      <x:c r="A10" s="23" t="n">
        <x:v>6</x:v>
      </x:c>
      <x:c r="B10" s="23" t="str">
        <x:v>Derivar origem e timestamps confiaveis</x:v>
      </x:c>
      <x:c r="C10" s="23" t="str">
        <x:v>Permite gate temporal</x:v>
      </x:c>
      <x:c r="D10" s="23" t="str">
        <x:v>Alta</x:v>
      </x:c>
      <x:c r="E10" s="23" t="str">
        <x:v>Snapshot old/new/tie</x:v>
      </x:c>
    </x:row>
    <x:row r="11">
      <x:c r="A11" s="23" t="n">
        <x:v>7</x:v>
      </x:c>
      <x:c r="B11" s="23" t="str">
        <x:v>Definir enriquecimento STE/SCA</x:v>
      </x:c>
      <x:c r="C11" s="23" t="str">
        <x:v>Evita downgrade sem perder indicador</x:v>
      </x:c>
      <x:c r="D11" s="23" t="str">
        <x:v>Alta</x:v>
      </x:c>
      <x:c r="E11" s="23" t="str">
        <x:v>Matriz de campos permitidos</x:v>
      </x:c>
    </x:row>
    <x:row r="12">
      <x:c r="A12" s="23" t="n">
        <x:v>8</x:v>
      </x:c>
      <x:c r="B12" s="23" t="str">
        <x:v>Corrigir derivadas, metricas e consolidacao</x:v>
      </x:c>
      <x:c r="C12" s="23" t="str">
        <x:v>Resultado publico verdadeiro</x:v>
      </x:c>
      <x:c r="D12" s="23" t="str">
        <x:v>Alta</x:v>
      </x:c>
      <x:c r="E12" s="23" t="str">
        <x:v>Mutacoes reais</x:v>
      </x:c>
    </x:row>
    <x:row r="13">
      <x:c r="A13" s="23" t="n">
        <x:v>9</x:v>
      </x:c>
      <x:c r="B13" s="23" t="str">
        <x:v>Processar lote em chunks/streaming</x:v>
      </x:c>
      <x:c r="C13" s="23" t="str">
        <x:v>Atende 1.769 arquivos com limites</x:v>
      </x:c>
      <x:c r="D13" s="23" t="str">
        <x:v>Alta</x:v>
      </x:c>
      <x:c r="E13" s="23" t="str">
        <x:v>Teste acervo grande</x:v>
      </x:c>
    </x:row>
    <x:row r="14">
      <x:c r="A14" s="23" t="n">
        <x:v>10</x:v>
      </x:c>
      <x:c r="B14" s="23" t="str">
        <x:v>Reabilitar comandos</x:v>
      </x:c>
      <x:c r="C14" s="23" t="str">
        <x:v>Retoma operacao segura</x:v>
      </x:c>
      <x:c r="D14" s="23" t="str">
        <x:v>Release gate</x:v>
      </x:c>
      <x:c r="E14" s="23" t="str">
        <x:v>Suite completa e pacote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ad71a6672cf4b41"/>
  </x:tableParts>
</x:worksheet>
</file>